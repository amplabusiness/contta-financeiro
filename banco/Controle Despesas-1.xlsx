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560ea423a9df6c3/Documentos/financeiro/"/>
    </mc:Choice>
  </mc:AlternateContent>
  <xr:revisionPtr revIDLastSave="0" documentId="8_{D680C351-8681-456C-9302-F88287A14921}" xr6:coauthVersionLast="47" xr6:coauthVersionMax="47" xr10:uidLastSave="{00000000-0000-0000-0000-000000000000}"/>
  <bookViews>
    <workbookView xWindow="-110" yWindow="-110" windowWidth="25820" windowHeight="15860" activeTab="1" xr2:uid="{00000000-000D-0000-FFFF-FFFF00000000}"/>
  </bookViews>
  <sheets>
    <sheet name="2024" sheetId="1" r:id="rId1"/>
    <sheet name="2025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3" l="1"/>
  <c r="F61" i="3"/>
  <c r="F71" i="3"/>
  <c r="F81" i="3"/>
  <c r="F90" i="3"/>
  <c r="F94" i="3"/>
  <c r="F48" i="3"/>
  <c r="F25" i="3"/>
  <c r="F24" i="3"/>
  <c r="I25" i="3"/>
  <c r="J89" i="3"/>
  <c r="I81" i="3"/>
  <c r="G82" i="3"/>
  <c r="G83" i="3"/>
  <c r="G84" i="3"/>
  <c r="G85" i="3"/>
  <c r="G86" i="3"/>
  <c r="G87" i="3"/>
  <c r="G88" i="3"/>
  <c r="G89" i="3"/>
  <c r="G81" i="3"/>
  <c r="D82" i="3"/>
  <c r="D83" i="3"/>
  <c r="D84" i="3"/>
  <c r="D85" i="3"/>
  <c r="D86" i="3"/>
  <c r="D87" i="3"/>
  <c r="D88" i="3"/>
  <c r="D89" i="3"/>
  <c r="D81" i="3"/>
  <c r="C81" i="3"/>
  <c r="J88" i="3"/>
  <c r="G102" i="3"/>
  <c r="G101" i="3"/>
  <c r="G100" i="3"/>
  <c r="G99" i="3"/>
  <c r="G98" i="3"/>
  <c r="G97" i="3"/>
  <c r="G96" i="3"/>
  <c r="G95" i="3"/>
  <c r="G93" i="3"/>
  <c r="G92" i="3"/>
  <c r="G91" i="3"/>
  <c r="G80" i="3"/>
  <c r="G79" i="3"/>
  <c r="G78" i="3"/>
  <c r="G77" i="3"/>
  <c r="G76" i="3"/>
  <c r="G75" i="3"/>
  <c r="G74" i="3"/>
  <c r="G73" i="3"/>
  <c r="G72" i="3"/>
  <c r="G70" i="3"/>
  <c r="G69" i="3"/>
  <c r="G68" i="3"/>
  <c r="G67" i="3"/>
  <c r="G66" i="3"/>
  <c r="G65" i="3"/>
  <c r="G64" i="3"/>
  <c r="G63" i="3"/>
  <c r="G62" i="3"/>
  <c r="G55" i="3"/>
  <c r="G60" i="3"/>
  <c r="G59" i="3"/>
  <c r="G58" i="3"/>
  <c r="G57" i="3"/>
  <c r="G56" i="3"/>
  <c r="G54" i="3"/>
  <c r="G53" i="3"/>
  <c r="G52" i="3"/>
  <c r="G51" i="3"/>
  <c r="G50" i="3"/>
  <c r="G40" i="3"/>
  <c r="G28" i="3"/>
  <c r="G46" i="3"/>
  <c r="G45" i="3"/>
  <c r="G44" i="3"/>
  <c r="G43" i="3"/>
  <c r="G42" i="3"/>
  <c r="G41" i="3"/>
  <c r="G39" i="3"/>
  <c r="G38" i="3"/>
  <c r="G37" i="3"/>
  <c r="G36" i="3"/>
  <c r="G35" i="3"/>
  <c r="G34" i="3"/>
  <c r="G33" i="3"/>
  <c r="G32" i="3"/>
  <c r="G31" i="3"/>
  <c r="G30" i="3"/>
  <c r="G29" i="3"/>
  <c r="G27" i="3"/>
  <c r="D55" i="3"/>
  <c r="D27" i="3"/>
  <c r="F7" i="3"/>
  <c r="G14" i="3"/>
  <c r="G16" i="3"/>
  <c r="G18" i="3"/>
  <c r="G20" i="3"/>
  <c r="F12" i="3"/>
  <c r="D18" i="3"/>
  <c r="C12" i="3"/>
  <c r="D14" i="3"/>
  <c r="D16" i="3"/>
  <c r="D20" i="3"/>
  <c r="C11" i="3"/>
  <c r="F10" i="3"/>
  <c r="G26" i="3"/>
  <c r="C7" i="3"/>
  <c r="C25" i="3"/>
  <c r="I49" i="3"/>
  <c r="C49" i="3"/>
  <c r="I61" i="3"/>
  <c r="C61" i="3"/>
  <c r="I71" i="3"/>
  <c r="C71" i="3"/>
  <c r="D40" i="3"/>
  <c r="D39" i="3"/>
  <c r="D38" i="3"/>
  <c r="D37" i="3"/>
  <c r="D69" i="3"/>
  <c r="J87" i="3"/>
  <c r="I94" i="3"/>
  <c r="I90" i="3"/>
  <c r="D41" i="1"/>
  <c r="D42" i="1"/>
  <c r="D43" i="1"/>
  <c r="D44" i="1"/>
  <c r="D45" i="1"/>
  <c r="D46" i="1"/>
  <c r="D47" i="1"/>
  <c r="D48" i="1"/>
  <c r="D49" i="1"/>
  <c r="D50" i="1"/>
  <c r="D51" i="1"/>
  <c r="D40" i="1"/>
  <c r="D53" i="1"/>
  <c r="D54" i="1"/>
  <c r="D55" i="1"/>
  <c r="D56" i="1"/>
  <c r="D57" i="1"/>
  <c r="D58" i="1"/>
  <c r="D59" i="1"/>
  <c r="D52" i="1"/>
  <c r="D61" i="1"/>
  <c r="D62" i="1"/>
  <c r="D63" i="1"/>
  <c r="D64" i="1"/>
  <c r="D65" i="1"/>
  <c r="D66" i="1"/>
  <c r="D60" i="1"/>
  <c r="D68" i="1"/>
  <c r="D69" i="1"/>
  <c r="D70" i="1"/>
  <c r="D71" i="1"/>
  <c r="D72" i="1"/>
  <c r="D67" i="1"/>
  <c r="D74" i="1"/>
  <c r="D75" i="1"/>
  <c r="D76" i="1"/>
  <c r="D73" i="1"/>
  <c r="D78" i="1"/>
  <c r="D79" i="1"/>
  <c r="D80" i="1"/>
  <c r="D81" i="1"/>
  <c r="D82" i="1"/>
  <c r="D83" i="1"/>
  <c r="D84" i="1"/>
  <c r="D85" i="1"/>
  <c r="D77" i="1"/>
  <c r="D39" i="1"/>
  <c r="J98" i="3"/>
  <c r="J102" i="3"/>
  <c r="J101" i="3"/>
  <c r="J100" i="3"/>
  <c r="J99" i="3"/>
  <c r="J97" i="3"/>
  <c r="J96" i="3"/>
  <c r="J95" i="3"/>
  <c r="D102" i="3"/>
  <c r="D101" i="3"/>
  <c r="D100" i="3"/>
  <c r="D99" i="3"/>
  <c r="D98" i="3"/>
  <c r="D97" i="3"/>
  <c r="D96" i="3"/>
  <c r="D95" i="3"/>
  <c r="J93" i="3"/>
  <c r="J92" i="3"/>
  <c r="J91" i="3"/>
  <c r="J90" i="3"/>
  <c r="D93" i="3"/>
  <c r="D92" i="3"/>
  <c r="D91" i="3"/>
  <c r="J84" i="3"/>
  <c r="J82" i="3"/>
  <c r="J83" i="3"/>
  <c r="J85" i="3"/>
  <c r="J86" i="3"/>
  <c r="J81" i="3"/>
  <c r="D80" i="3"/>
  <c r="J80" i="3"/>
  <c r="J79" i="3"/>
  <c r="J78" i="3"/>
  <c r="J67" i="3"/>
  <c r="J77" i="3"/>
  <c r="J76" i="3"/>
  <c r="J75" i="3"/>
  <c r="J74" i="3"/>
  <c r="J73" i="3"/>
  <c r="J72" i="3"/>
  <c r="D79" i="3"/>
  <c r="D78" i="3"/>
  <c r="D67" i="3"/>
  <c r="D77" i="3"/>
  <c r="D76" i="3"/>
  <c r="D75" i="3"/>
  <c r="D74" i="3"/>
  <c r="D73" i="3"/>
  <c r="D72" i="3"/>
  <c r="D70" i="3"/>
  <c r="J66" i="3"/>
  <c r="J70" i="3"/>
  <c r="J68" i="3"/>
  <c r="J65" i="3"/>
  <c r="J62" i="3"/>
  <c r="J63" i="3"/>
  <c r="J64" i="3"/>
  <c r="J61" i="3"/>
  <c r="D68" i="3"/>
  <c r="D66" i="3"/>
  <c r="D65" i="3"/>
  <c r="D64" i="3"/>
  <c r="D63" i="3"/>
  <c r="D62" i="3"/>
  <c r="J55" i="3"/>
  <c r="J60" i="3"/>
  <c r="J59" i="3"/>
  <c r="J58" i="3"/>
  <c r="J57" i="3"/>
  <c r="J56" i="3"/>
  <c r="J54" i="3"/>
  <c r="J53" i="3"/>
  <c r="J52" i="3"/>
  <c r="J51" i="3"/>
  <c r="J50" i="3"/>
  <c r="J46" i="3"/>
  <c r="J45" i="3"/>
  <c r="J44" i="3"/>
  <c r="J42" i="3"/>
  <c r="J41" i="3"/>
  <c r="J36" i="3"/>
  <c r="J35" i="3"/>
  <c r="J34" i="3"/>
  <c r="J33" i="3"/>
  <c r="J32" i="3"/>
  <c r="J31" i="3"/>
  <c r="J30" i="3"/>
  <c r="J29" i="3"/>
  <c r="J28" i="3"/>
  <c r="J27" i="3"/>
  <c r="J26" i="3"/>
  <c r="D60" i="3"/>
  <c r="D52" i="3"/>
  <c r="D51" i="3"/>
  <c r="D59" i="3"/>
  <c r="D58" i="3"/>
  <c r="D57" i="3"/>
  <c r="D56" i="3"/>
  <c r="D54" i="3"/>
  <c r="D53" i="3"/>
  <c r="D50" i="3"/>
  <c r="D26" i="3"/>
  <c r="D46" i="3"/>
  <c r="D45" i="3"/>
  <c r="D44" i="3"/>
  <c r="D42" i="3"/>
  <c r="D41" i="3"/>
  <c r="D36" i="3"/>
  <c r="D35" i="3"/>
  <c r="D34" i="3"/>
  <c r="D33" i="3"/>
  <c r="D32" i="3"/>
  <c r="D31" i="3"/>
  <c r="D30" i="3"/>
  <c r="D29" i="3"/>
  <c r="D28" i="3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23" i="1"/>
  <c r="C94" i="3"/>
  <c r="C90" i="3"/>
  <c r="D14" i="1"/>
  <c r="D16" i="1"/>
  <c r="D18" i="1"/>
  <c r="C11" i="1"/>
  <c r="G18" i="1"/>
  <c r="F12" i="1"/>
  <c r="G14" i="1"/>
  <c r="G16" i="1"/>
  <c r="F10" i="1"/>
  <c r="C10" i="1"/>
  <c r="F40" i="1"/>
  <c r="F52" i="1"/>
  <c r="F60" i="1"/>
  <c r="F67" i="1"/>
  <c r="F73" i="1"/>
  <c r="F77" i="1"/>
  <c r="F39" i="1"/>
  <c r="F86" i="1"/>
  <c r="C7" i="1"/>
  <c r="I7" i="1"/>
  <c r="G61" i="3"/>
  <c r="J71" i="3"/>
  <c r="G25" i="3"/>
  <c r="G49" i="3"/>
  <c r="G71" i="3"/>
  <c r="D49" i="3"/>
  <c r="D61" i="3"/>
  <c r="D71" i="3"/>
  <c r="D90" i="3"/>
  <c r="D94" i="3"/>
  <c r="D48" i="3"/>
  <c r="D25" i="3"/>
  <c r="C10" i="3"/>
  <c r="G94" i="3"/>
  <c r="G90" i="3"/>
  <c r="C48" i="3"/>
  <c r="C24" i="3"/>
  <c r="C103" i="3"/>
  <c r="J94" i="3"/>
  <c r="F103" i="3"/>
  <c r="C40" i="1"/>
  <c r="C52" i="1"/>
  <c r="C60" i="1"/>
  <c r="C67" i="1"/>
  <c r="C73" i="1"/>
  <c r="C77" i="1"/>
  <c r="C39" i="1"/>
  <c r="C23" i="1"/>
  <c r="C22" i="1"/>
  <c r="F23" i="1"/>
  <c r="F22" i="1"/>
  <c r="F7" i="1"/>
  <c r="I11" i="3"/>
  <c r="I10" i="3"/>
  <c r="I12" i="3"/>
  <c r="F11" i="1"/>
  <c r="G72" i="1"/>
  <c r="G74" i="1"/>
  <c r="G71" i="1"/>
  <c r="G56" i="1"/>
  <c r="G57" i="1"/>
  <c r="G85" i="1"/>
  <c r="G83" i="1"/>
  <c r="G84" i="1"/>
  <c r="G82" i="1"/>
  <c r="G79" i="1"/>
  <c r="G78" i="1"/>
  <c r="G81" i="1"/>
  <c r="G80" i="1"/>
  <c r="G76" i="1"/>
  <c r="G75" i="1"/>
  <c r="G70" i="1"/>
  <c r="G69" i="1"/>
  <c r="G68" i="1"/>
  <c r="G66" i="1"/>
  <c r="G65" i="1"/>
  <c r="G64" i="1"/>
  <c r="G62" i="1"/>
  <c r="G63" i="1"/>
  <c r="G61" i="1"/>
  <c r="G58" i="1"/>
  <c r="G53" i="1"/>
  <c r="G55" i="1"/>
  <c r="G54" i="1"/>
  <c r="G59" i="1"/>
  <c r="G46" i="1"/>
  <c r="G51" i="1"/>
  <c r="G45" i="1"/>
  <c r="G44" i="1"/>
  <c r="G50" i="1"/>
  <c r="G49" i="1"/>
  <c r="G43" i="1"/>
  <c r="G47" i="1"/>
  <c r="G48" i="1"/>
  <c r="G42" i="1"/>
  <c r="G41" i="1"/>
  <c r="G37" i="1"/>
  <c r="G36" i="1"/>
  <c r="G35" i="1"/>
  <c r="G25" i="1"/>
  <c r="G33" i="1"/>
  <c r="G34" i="1"/>
  <c r="G32" i="1"/>
  <c r="G31" i="1"/>
  <c r="G30" i="1"/>
  <c r="G29" i="1"/>
  <c r="G28" i="1"/>
  <c r="G27" i="1"/>
  <c r="G26" i="1"/>
  <c r="G24" i="1"/>
  <c r="G40" i="1"/>
  <c r="G23" i="1"/>
  <c r="G73" i="1"/>
  <c r="G52" i="1"/>
  <c r="G77" i="1"/>
  <c r="D22" i="1"/>
  <c r="G67" i="1"/>
  <c r="G60" i="1"/>
  <c r="C86" i="1"/>
  <c r="G39" i="1"/>
  <c r="G22" i="1"/>
  <c r="I48" i="3"/>
  <c r="J25" i="3"/>
  <c r="J49" i="3"/>
  <c r="G48" i="3"/>
  <c r="G24" i="3"/>
  <c r="D24" i="3"/>
  <c r="I24" i="3"/>
  <c r="I103" i="3"/>
  <c r="J48" i="3"/>
  <c r="J2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ampla contabilidade</author>
  </authors>
  <commentList>
    <comment ref="F43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ampla contabilidade:</t>
        </r>
        <r>
          <rPr>
            <sz val="9"/>
            <color indexed="81"/>
            <rFont val="Segoe UI"/>
            <family val="2"/>
          </rPr>
          <t xml:space="preserve">
Certidão Simplificada - Toca do Leão</t>
        </r>
      </text>
    </comment>
    <comment ref="F76" authorId="0" shapeId="0" xr:uid="{00000000-0006-0000-0100-000002000000}">
      <text>
        <r>
          <rPr>
            <b/>
            <sz val="9"/>
            <color indexed="81"/>
            <rFont val="Segoe UI"/>
            <charset val="1"/>
          </rPr>
          <t>ampla contabilidade:</t>
        </r>
        <r>
          <rPr>
            <sz val="9"/>
            <color indexed="81"/>
            <rFont val="Segoe UI"/>
            <charset val="1"/>
          </rPr>
          <t xml:space="preserve">
Sueli - 30,00 (cópias)
Tapete - 645,00</t>
        </r>
      </text>
    </comment>
    <comment ref="F87" authorId="0" shapeId="0" xr:uid="{00000000-0006-0000-0100-000003000000}">
      <text>
        <r>
          <rPr>
            <b/>
            <sz val="9"/>
            <color indexed="81"/>
            <rFont val="Segoe UI"/>
            <charset val="1"/>
          </rPr>
          <t>ampla contabilidade:</t>
        </r>
        <r>
          <rPr>
            <sz val="9"/>
            <color indexed="81"/>
            <rFont val="Segoe UI"/>
            <charset val="1"/>
          </rPr>
          <t xml:space="preserve">
Antecipação do vencimento 10/03 - R$ 1.250,00</t>
        </r>
      </text>
    </comment>
    <comment ref="F99" authorId="0" shapeId="0" xr:uid="{00000000-0006-0000-0100-000004000000}">
      <text>
        <r>
          <rPr>
            <b/>
            <sz val="9"/>
            <color indexed="81"/>
            <rFont val="Segoe UI"/>
            <family val="2"/>
          </rPr>
          <t>ampla contabilidade:</t>
        </r>
        <r>
          <rPr>
            <sz val="9"/>
            <color indexed="81"/>
            <rFont val="Segoe UI"/>
            <family val="2"/>
          </rPr>
          <t xml:space="preserve">
318,30 - Ref. Compra em janeiro
387,69 - Ref. Compra fevereiro</t>
        </r>
      </text>
    </comment>
    <comment ref="C100" authorId="0" shapeId="0" xr:uid="{00000000-0006-0000-0100-000005000000}">
      <text>
        <r>
          <rPr>
            <sz val="9"/>
            <color indexed="81"/>
            <rFont val="Segoe UI"/>
            <family val="2"/>
          </rPr>
          <t>Pão de Queijo
Chá</t>
        </r>
      </text>
    </comment>
  </commentList>
</comments>
</file>

<file path=xl/sharedStrings.xml><?xml version="1.0" encoding="utf-8"?>
<sst xmlns="http://schemas.openxmlformats.org/spreadsheetml/2006/main" count="205" uniqueCount="104">
  <si>
    <t>Faturamento</t>
  </si>
  <si>
    <t>Repasse (Nayara e Victor)</t>
  </si>
  <si>
    <t>Juros/Multa</t>
  </si>
  <si>
    <t>Total Recebido</t>
  </si>
  <si>
    <t>A Receber</t>
  </si>
  <si>
    <t>MOVIMENTO FINANCEIRO</t>
  </si>
  <si>
    <t xml:space="preserve">GASTOS </t>
  </si>
  <si>
    <t>ANÁLISE VERTICAL</t>
  </si>
  <si>
    <t>TOTAL SAÍDAS</t>
  </si>
  <si>
    <t>SERGIO CARNEIRO</t>
  </si>
  <si>
    <t>Água</t>
  </si>
  <si>
    <t>Antônio Leandro - Personal</t>
  </si>
  <si>
    <t>Condomínio Galeria Nacional</t>
  </si>
  <si>
    <t>Condomínio Lago</t>
  </si>
  <si>
    <t>Condomínio Mundi</t>
  </si>
  <si>
    <t>Energia</t>
  </si>
  <si>
    <t>Gás</t>
  </si>
  <si>
    <t>Internet</t>
  </si>
  <si>
    <t>IPTU</t>
  </si>
  <si>
    <t>IPVA BMW, Biz e CG</t>
  </si>
  <si>
    <t>Obras Lago</t>
  </si>
  <si>
    <t>Plano de Saúde</t>
  </si>
  <si>
    <t>Telefone</t>
  </si>
  <si>
    <t>Tharson Diego</t>
  </si>
  <si>
    <t>TOTAL CUSTO AMPLA CONTABILIDADE</t>
  </si>
  <si>
    <t>CONTAS FIXAS</t>
  </si>
  <si>
    <t>Nayara</t>
  </si>
  <si>
    <t>Sérgio Augusto</t>
  </si>
  <si>
    <t>Sistemas - Aplicativos</t>
  </si>
  <si>
    <t>Telefone Celular</t>
  </si>
  <si>
    <t>Telefone Fixo</t>
  </si>
  <si>
    <t>Vale Alimentação</t>
  </si>
  <si>
    <t>Vale Transporte</t>
  </si>
  <si>
    <t>Victor Hugo</t>
  </si>
  <si>
    <t>IMPOSTOS</t>
  </si>
  <si>
    <t>FGTS</t>
  </si>
  <si>
    <t>INSS e IRRF</t>
  </si>
  <si>
    <t>IPTU 2018</t>
  </si>
  <si>
    <t>IPTU 2022</t>
  </si>
  <si>
    <t>IPTU 2024</t>
  </si>
  <si>
    <t>ISS Prórprio</t>
  </si>
  <si>
    <t>Simples Nacional</t>
  </si>
  <si>
    <t>CONTAS VARIÁVEIS</t>
  </si>
  <si>
    <t>Comissão</t>
  </si>
  <si>
    <t>Empréstimos</t>
  </si>
  <si>
    <t>Eventuais</t>
  </si>
  <si>
    <t>Manutenção</t>
  </si>
  <si>
    <t>Rescisão</t>
  </si>
  <si>
    <t>Uniformes</t>
  </si>
  <si>
    <t>SERVIÇO TERCEIROS</t>
  </si>
  <si>
    <t>Dep. Fiscal</t>
  </si>
  <si>
    <t>Dep. Legalização</t>
  </si>
  <si>
    <t>Dep. Limpeza</t>
  </si>
  <si>
    <t>Dep. Pessoal</t>
  </si>
  <si>
    <t>FOLHA PAGAMENTO</t>
  </si>
  <si>
    <t>Babá</t>
  </si>
  <si>
    <t>Dep. Contábil</t>
  </si>
  <si>
    <t>Dep. Financeiro</t>
  </si>
  <si>
    <t>MATERIAL DE CONSUMO</t>
  </si>
  <si>
    <t>Açucar</t>
  </si>
  <si>
    <t>Água Mineral</t>
  </si>
  <si>
    <t>Bolachas</t>
  </si>
  <si>
    <t>Café</t>
  </si>
  <si>
    <t>Material de Limpeza</t>
  </si>
  <si>
    <t>Outros</t>
  </si>
  <si>
    <t>Papelaria</t>
  </si>
  <si>
    <t>Remédios</t>
  </si>
  <si>
    <t>RESULTADO CONTÁBIL DO PERÍODO</t>
  </si>
  <si>
    <t>ANALISE VERTICAL</t>
  </si>
  <si>
    <t>IPTU 2025</t>
  </si>
  <si>
    <t>Dep. Psicologia</t>
  </si>
  <si>
    <t>HONORÁRIO 2,87%</t>
  </si>
  <si>
    <t>Competência 11/2024</t>
  </si>
  <si>
    <t>Competência 12/2024</t>
  </si>
  <si>
    <t>Recebidos</t>
  </si>
  <si>
    <t xml:space="preserve">Faturamento </t>
  </si>
  <si>
    <t>Honorário 2,87%</t>
  </si>
  <si>
    <t>Empresa</t>
  </si>
  <si>
    <t>Action</t>
  </si>
  <si>
    <t>Ipê Comércio</t>
  </si>
  <si>
    <t>Mata Pragras</t>
  </si>
  <si>
    <t>Competência 01/2025</t>
  </si>
  <si>
    <t>Competência 02/2025</t>
  </si>
  <si>
    <t>Competência 03/2025</t>
  </si>
  <si>
    <t>HONORÁRIO MENSAL</t>
  </si>
  <si>
    <t>TOTAL SAÍDAS (SERGIO + AMPLA)</t>
  </si>
  <si>
    <t>Honorário 13º</t>
  </si>
  <si>
    <t>Multas</t>
  </si>
  <si>
    <t>Anuidade CRC - Carla</t>
  </si>
  <si>
    <t>Anuidade CRC - Sergio</t>
  </si>
  <si>
    <t>Anuidade CRC - Ampla</t>
  </si>
  <si>
    <t>Outsider Construtora</t>
  </si>
  <si>
    <t>R&amp;P Aviação</t>
  </si>
  <si>
    <t>IPVA BMW, Biz, CG e Carretinha</t>
  </si>
  <si>
    <t>Dep. Midia Social</t>
  </si>
  <si>
    <t>Simples Nacional - Ampla</t>
  </si>
  <si>
    <t>Simples Nacional - Scala</t>
  </si>
  <si>
    <t>IPTU - Apartamento</t>
  </si>
  <si>
    <t>IPTU - Sala 301</t>
  </si>
  <si>
    <t>IPTU - Sala 302</t>
  </si>
  <si>
    <t>IPTU - Sala 303</t>
  </si>
  <si>
    <t>IPTU - Vila Abajá</t>
  </si>
  <si>
    <t>Dep. T.I (Bruno Victor)</t>
  </si>
  <si>
    <t xml:space="preserve">Manutenção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</si>
</sst>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25" x14ac:knownFonts="1">
    <font>
      <sz val="10"/>
      <color rgb="FF000000"/>
      <name val="Arial"/>
    </font>
    <font>
      <sz val="14"/>
      <color theme="1"/>
      <name val="Arial"/>
      <family val="2"/>
    </font>
    <font>
      <sz val="10"/>
      <name val="Arial"/>
      <family val="2"/>
    </font>
    <font>
      <sz val="10"/>
      <color rgb="FF385A7B"/>
      <name val="Montserrat"/>
    </font>
    <font>
      <b/>
      <sz val="10"/>
      <color rgb="FF385A7B"/>
      <name val="Montserrat"/>
    </font>
    <font>
      <sz val="12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Montserrat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0"/>
      <name val="Montserrat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Montserrat"/>
    </font>
    <font>
      <sz val="11"/>
      <color theme="4"/>
      <name val="Arial"/>
      <family val="2"/>
    </font>
    <font>
      <sz val="11"/>
      <color rgb="FF000000"/>
      <name val="Arial"/>
      <family val="2"/>
    </font>
    <font>
      <b/>
      <sz val="10"/>
      <name val="Montserrat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7">
    <fill>
      <patternFill patternType="none"/>
    </fill>
    <fill>
      <patternFill patternType="gray125"/>
    </fill>
    <fill>
      <patternFill patternType="solid">
        <fgColor rgb="FF00AFF0"/>
        <bgColor rgb="FF00AFF0"/>
      </patternFill>
    </fill>
    <fill>
      <patternFill patternType="solid">
        <fgColor rgb="FFE7F8D9"/>
        <bgColor rgb="FFE7F8D9"/>
      </patternFill>
    </fill>
    <fill>
      <patternFill patternType="solid">
        <fgColor rgb="FFF5E3B1"/>
        <bgColor rgb="FFF5E3B1"/>
      </patternFill>
    </fill>
    <fill>
      <patternFill patternType="solid">
        <fgColor rgb="FFF7EED7"/>
        <bgColor rgb="FFF7EED7"/>
      </patternFill>
    </fill>
    <fill>
      <patternFill patternType="solid">
        <fgColor theme="0"/>
        <bgColor rgb="FFF5E3B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7EED7"/>
      </patternFill>
    </fill>
    <fill>
      <patternFill patternType="solid">
        <fgColor theme="9" tint="0.39997558519241921"/>
        <bgColor rgb="FFF5E3B1"/>
      </patternFill>
    </fill>
    <fill>
      <patternFill patternType="solid">
        <fgColor theme="9" tint="0.39997558519241921"/>
        <bgColor rgb="FFF7EED7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E7F8D9"/>
      </patternFill>
    </fill>
    <fill>
      <patternFill patternType="solid">
        <fgColor rgb="FFFBFAD8"/>
        <bgColor rgb="FFE7F8D9"/>
      </patternFill>
    </fill>
    <fill>
      <patternFill patternType="solid">
        <fgColor theme="0" tint="-0.14999847407452621"/>
        <bgColor rgb="FFE7F8D9"/>
      </patternFill>
    </fill>
    <fill>
      <patternFill patternType="solid">
        <fgColor theme="0" tint="-4.9989318521683403E-2"/>
        <bgColor rgb="FFE7F8D9"/>
      </patternFill>
    </fill>
    <fill>
      <patternFill patternType="solid">
        <fgColor rgb="FFFFC000"/>
        <bgColor rgb="FF00AFF0"/>
      </patternFill>
    </fill>
  </fills>
  <borders count="65"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/>
      <right/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medium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/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thin">
        <color theme="0"/>
      </top>
      <bottom style="thin">
        <color theme="0"/>
      </bottom>
      <diagonal/>
    </border>
    <border>
      <left/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thin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thin">
        <color theme="0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/>
      <right/>
      <top style="medium">
        <color theme="1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theme="1"/>
      </left>
      <right/>
      <top/>
      <bottom style="thin">
        <color theme="0"/>
      </bottom>
      <diagonal/>
    </border>
    <border>
      <left/>
      <right style="medium">
        <color theme="1"/>
      </right>
      <top/>
      <bottom style="thin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 style="medium">
        <color theme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 style="medium">
        <color indexed="64"/>
      </right>
      <top/>
      <bottom style="medium">
        <color theme="1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2" fillId="0" borderId="2"/>
    <xf numFmtId="44" fontId="6" fillId="0" borderId="0" applyFont="0" applyFill="0" applyBorder="0" applyAlignment="0" applyProtection="0"/>
  </cellStyleXfs>
  <cellXfs count="232">
    <xf numFmtId="0" fontId="0" fillId="0" borderId="0" xfId="0"/>
    <xf numFmtId="0" fontId="1" fillId="0" borderId="0" xfId="0" applyFont="1"/>
    <xf numFmtId="0" fontId="4" fillId="4" borderId="7" xfId="0" applyFont="1" applyFill="1" applyBorder="1" applyAlignment="1">
      <alignment horizontal="left" vertical="center"/>
    </xf>
    <xf numFmtId="0" fontId="5" fillId="0" borderId="0" xfId="0" applyFont="1"/>
    <xf numFmtId="0" fontId="3" fillId="5" borderId="7" xfId="0" applyFont="1" applyFill="1" applyBorder="1" applyAlignment="1">
      <alignment horizontal="left" vertical="center"/>
    </xf>
    <xf numFmtId="164" fontId="3" fillId="5" borderId="3" xfId="0" applyNumberFormat="1" applyFont="1" applyFill="1" applyBorder="1" applyAlignment="1">
      <alignment horizontal="left" vertical="center"/>
    </xf>
    <xf numFmtId="164" fontId="4" fillId="4" borderId="5" xfId="0" applyNumberFormat="1" applyFont="1" applyFill="1" applyBorder="1" applyAlignment="1">
      <alignment horizontal="left" vertical="center"/>
    </xf>
    <xf numFmtId="10" fontId="3" fillId="5" borderId="3" xfId="1" applyNumberFormat="1" applyFont="1" applyFill="1" applyBorder="1" applyAlignment="1">
      <alignment horizontal="center" vertical="center"/>
    </xf>
    <xf numFmtId="10" fontId="4" fillId="4" borderId="5" xfId="1" applyNumberFormat="1" applyFont="1" applyFill="1" applyBorder="1" applyAlignment="1">
      <alignment horizontal="center" vertical="center"/>
    </xf>
    <xf numFmtId="164" fontId="3" fillId="5" borderId="5" xfId="0" applyNumberFormat="1" applyFont="1" applyFill="1" applyBorder="1" applyAlignment="1">
      <alignment horizontal="left" vertical="center"/>
    </xf>
    <xf numFmtId="164" fontId="4" fillId="4" borderId="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6" borderId="7" xfId="0" applyFont="1" applyFill="1" applyBorder="1" applyAlignment="1">
      <alignment horizontal="left" vertical="center"/>
    </xf>
    <xf numFmtId="0" fontId="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3" fillId="8" borderId="7" xfId="0" applyFont="1" applyFill="1" applyBorder="1" applyAlignment="1">
      <alignment horizontal="left" vertical="center"/>
    </xf>
    <xf numFmtId="164" fontId="3" fillId="8" borderId="5" xfId="0" applyNumberFormat="1" applyFont="1" applyFill="1" applyBorder="1" applyAlignment="1">
      <alignment horizontal="left" vertical="center"/>
    </xf>
    <xf numFmtId="10" fontId="3" fillId="8" borderId="5" xfId="1" applyNumberFormat="1" applyFont="1" applyFill="1" applyBorder="1" applyAlignment="1">
      <alignment horizontal="center" vertical="center"/>
    </xf>
    <xf numFmtId="10" fontId="3" fillId="8" borderId="3" xfId="1" applyNumberFormat="1" applyFont="1" applyFill="1" applyBorder="1" applyAlignment="1">
      <alignment horizontal="center" vertical="center"/>
    </xf>
    <xf numFmtId="0" fontId="1" fillId="7" borderId="0" xfId="0" applyFont="1" applyFill="1"/>
    <xf numFmtId="0" fontId="0" fillId="7" borderId="0" xfId="0" applyFill="1"/>
    <xf numFmtId="44" fontId="8" fillId="0" borderId="0" xfId="3" applyFont="1" applyAlignment="1">
      <alignment horizontal="center"/>
    </xf>
    <xf numFmtId="164" fontId="1" fillId="0" borderId="0" xfId="0" applyNumberFormat="1" applyFont="1"/>
    <xf numFmtId="164" fontId="4" fillId="6" borderId="8" xfId="0" applyNumberFormat="1" applyFont="1" applyFill="1" applyBorder="1" applyAlignment="1">
      <alignment horizontal="center" vertical="center"/>
    </xf>
    <xf numFmtId="10" fontId="4" fillId="6" borderId="8" xfId="1" applyNumberFormat="1" applyFont="1" applyFill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left" vertical="center"/>
    </xf>
    <xf numFmtId="10" fontId="3" fillId="5" borderId="9" xfId="1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left" vertical="center"/>
    </xf>
    <xf numFmtId="10" fontId="4" fillId="4" borderId="10" xfId="1" applyNumberFormat="1" applyFont="1" applyFill="1" applyBorder="1" applyAlignment="1">
      <alignment horizontal="center" vertical="center"/>
    </xf>
    <xf numFmtId="164" fontId="4" fillId="4" borderId="10" xfId="0" applyNumberFormat="1" applyFont="1" applyFill="1" applyBorder="1" applyAlignment="1">
      <alignment horizontal="left" vertical="center"/>
    </xf>
    <xf numFmtId="164" fontId="3" fillId="5" borderId="11" xfId="0" applyNumberFormat="1" applyFont="1" applyFill="1" applyBorder="1" applyAlignment="1">
      <alignment horizontal="left" vertical="center"/>
    </xf>
    <xf numFmtId="10" fontId="4" fillId="4" borderId="10" xfId="0" applyNumberFormat="1" applyFont="1" applyFill="1" applyBorder="1" applyAlignment="1">
      <alignment horizontal="center" vertical="center"/>
    </xf>
    <xf numFmtId="10" fontId="3" fillId="5" borderId="11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164" fontId="7" fillId="3" borderId="6" xfId="0" applyNumberFormat="1" applyFont="1" applyFill="1" applyBorder="1" applyAlignment="1">
      <alignment horizontal="left" vertical="center"/>
    </xf>
    <xf numFmtId="0" fontId="1" fillId="0" borderId="2" xfId="0" applyFont="1" applyBorder="1"/>
    <xf numFmtId="10" fontId="4" fillId="6" borderId="17" xfId="1" applyNumberFormat="1" applyFont="1" applyFill="1" applyBorder="1" applyAlignment="1">
      <alignment horizontal="center" vertical="center" wrapText="1"/>
    </xf>
    <xf numFmtId="164" fontId="4" fillId="6" borderId="18" xfId="0" applyNumberFormat="1" applyFont="1" applyFill="1" applyBorder="1" applyAlignment="1">
      <alignment horizontal="center" vertical="center"/>
    </xf>
    <xf numFmtId="10" fontId="4" fillId="6" borderId="18" xfId="1" applyNumberFormat="1" applyFont="1" applyFill="1" applyBorder="1" applyAlignment="1">
      <alignment horizontal="center" vertical="center" wrapText="1"/>
    </xf>
    <xf numFmtId="4" fontId="1" fillId="0" borderId="0" xfId="0" applyNumberFormat="1" applyFont="1"/>
    <xf numFmtId="0" fontId="4" fillId="9" borderId="13" xfId="0" applyFont="1" applyFill="1" applyBorder="1" applyAlignment="1">
      <alignment horizontal="left" vertical="center"/>
    </xf>
    <xf numFmtId="164" fontId="4" fillId="9" borderId="14" xfId="0" applyNumberFormat="1" applyFont="1" applyFill="1" applyBorder="1" applyAlignment="1">
      <alignment horizontal="left" vertical="center"/>
    </xf>
    <xf numFmtId="10" fontId="4" fillId="9" borderId="15" xfId="1" applyNumberFormat="1" applyFont="1" applyFill="1" applyBorder="1" applyAlignment="1">
      <alignment horizontal="center" vertical="center"/>
    </xf>
    <xf numFmtId="164" fontId="4" fillId="9" borderId="15" xfId="0" applyNumberFormat="1" applyFont="1" applyFill="1" applyBorder="1" applyAlignment="1">
      <alignment horizontal="left" vertical="center"/>
    </xf>
    <xf numFmtId="0" fontId="4" fillId="9" borderId="7" xfId="0" applyFont="1" applyFill="1" applyBorder="1" applyAlignment="1">
      <alignment horizontal="left" vertical="center"/>
    </xf>
    <xf numFmtId="164" fontId="4" fillId="9" borderId="5" xfId="0" applyNumberFormat="1" applyFont="1" applyFill="1" applyBorder="1" applyAlignment="1">
      <alignment horizontal="left" vertical="center"/>
    </xf>
    <xf numFmtId="10" fontId="4" fillId="9" borderId="5" xfId="1" applyNumberFormat="1" applyFont="1" applyFill="1" applyBorder="1" applyAlignment="1">
      <alignment horizontal="center" vertical="center"/>
    </xf>
    <xf numFmtId="44" fontId="4" fillId="10" borderId="3" xfId="3" applyFont="1" applyFill="1" applyBorder="1" applyAlignment="1">
      <alignment horizontal="center" vertical="center"/>
    </xf>
    <xf numFmtId="10" fontId="3" fillId="10" borderId="3" xfId="1" applyNumberFormat="1" applyFont="1" applyFill="1" applyBorder="1" applyAlignment="1">
      <alignment horizontal="center" vertical="center"/>
    </xf>
    <xf numFmtId="0" fontId="9" fillId="0" borderId="0" xfId="0" applyFont="1"/>
    <xf numFmtId="10" fontId="3" fillId="5" borderId="5" xfId="1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left" vertical="center"/>
    </xf>
    <xf numFmtId="164" fontId="7" fillId="12" borderId="5" xfId="0" applyNumberFormat="1" applyFont="1" applyFill="1" applyBorder="1" applyAlignment="1">
      <alignment horizontal="center" vertical="center"/>
    </xf>
    <xf numFmtId="164" fontId="4" fillId="3" borderId="5" xfId="0" applyNumberFormat="1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6" borderId="8" xfId="0" applyFont="1" applyFill="1" applyBorder="1" applyAlignment="1">
      <alignment horizontal="left" vertical="center"/>
    </xf>
    <xf numFmtId="0" fontId="4" fillId="9" borderId="2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3" fillId="5" borderId="19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164" fontId="7" fillId="12" borderId="8" xfId="0" applyNumberFormat="1" applyFont="1" applyFill="1" applyBorder="1" applyAlignment="1">
      <alignment horizontal="left" vertical="center"/>
    </xf>
    <xf numFmtId="164" fontId="7" fillId="12" borderId="8" xfId="0" applyNumberFormat="1" applyFont="1" applyFill="1" applyBorder="1" applyAlignment="1">
      <alignment horizontal="center" vertical="center"/>
    </xf>
    <xf numFmtId="164" fontId="4" fillId="12" borderId="5" xfId="0" applyNumberFormat="1" applyFont="1" applyFill="1" applyBorder="1" applyAlignment="1">
      <alignment horizontal="center" vertical="center"/>
    </xf>
    <xf numFmtId="10" fontId="4" fillId="6" borderId="16" xfId="1" applyNumberFormat="1" applyFont="1" applyFill="1" applyBorder="1" applyAlignment="1">
      <alignment horizontal="center" vertical="center" wrapText="1"/>
    </xf>
    <xf numFmtId="10" fontId="4" fillId="6" borderId="15" xfId="1" applyNumberFormat="1" applyFont="1" applyFill="1" applyBorder="1" applyAlignment="1">
      <alignment horizontal="center" vertical="center"/>
    </xf>
    <xf numFmtId="10" fontId="4" fillId="6" borderId="10" xfId="1" applyNumberFormat="1" applyFont="1" applyFill="1" applyBorder="1" applyAlignment="1">
      <alignment horizontal="center" vertical="center"/>
    </xf>
    <xf numFmtId="10" fontId="3" fillId="8" borderId="21" xfId="1" applyNumberFormat="1" applyFont="1" applyFill="1" applyBorder="1" applyAlignment="1">
      <alignment horizontal="center" vertical="center"/>
    </xf>
    <xf numFmtId="10" fontId="4" fillId="6" borderId="5" xfId="1" applyNumberFormat="1" applyFont="1" applyFill="1" applyBorder="1" applyAlignment="1">
      <alignment horizontal="center" vertical="center"/>
    </xf>
    <xf numFmtId="44" fontId="4" fillId="8" borderId="3" xfId="3" applyFont="1" applyFill="1" applyBorder="1" applyAlignment="1">
      <alignment horizontal="center" vertical="center"/>
    </xf>
    <xf numFmtId="164" fontId="4" fillId="12" borderId="2" xfId="0" applyNumberFormat="1" applyFont="1" applyFill="1" applyBorder="1" applyAlignment="1">
      <alignment horizontal="center" vertical="center"/>
    </xf>
    <xf numFmtId="164" fontId="4" fillId="12" borderId="2" xfId="0" applyNumberFormat="1" applyFont="1" applyFill="1" applyBorder="1" applyAlignment="1">
      <alignment vertical="center"/>
    </xf>
    <xf numFmtId="0" fontId="14" fillId="7" borderId="2" xfId="0" applyFont="1" applyFill="1" applyBorder="1" applyAlignment="1">
      <alignment horizontal="left"/>
    </xf>
    <xf numFmtId="164" fontId="4" fillId="13" borderId="32" xfId="0" applyNumberFormat="1" applyFont="1" applyFill="1" applyBorder="1" applyAlignment="1">
      <alignment horizontal="center" vertical="center"/>
    </xf>
    <xf numFmtId="164" fontId="4" fillId="14" borderId="33" xfId="0" applyNumberFormat="1" applyFont="1" applyFill="1" applyBorder="1" applyAlignment="1">
      <alignment vertical="center"/>
    </xf>
    <xf numFmtId="0" fontId="14" fillId="0" borderId="33" xfId="0" applyFont="1" applyBorder="1" applyAlignment="1">
      <alignment horizontal="left"/>
    </xf>
    <xf numFmtId="164" fontId="4" fillId="14" borderId="34" xfId="0" applyNumberFormat="1" applyFont="1" applyFill="1" applyBorder="1" applyAlignment="1">
      <alignment vertical="center"/>
    </xf>
    <xf numFmtId="0" fontId="11" fillId="0" borderId="33" xfId="0" applyFont="1" applyBorder="1" applyAlignment="1">
      <alignment horizontal="center" vertical="center"/>
    </xf>
    <xf numFmtId="164" fontId="4" fillId="12" borderId="33" xfId="0" applyNumberFormat="1" applyFont="1" applyFill="1" applyBorder="1" applyAlignment="1">
      <alignment vertical="center"/>
    </xf>
    <xf numFmtId="164" fontId="0" fillId="7" borderId="26" xfId="0" applyNumberFormat="1" applyFill="1" applyBorder="1" applyAlignment="1">
      <alignment horizontal="center" vertical="center"/>
    </xf>
    <xf numFmtId="164" fontId="4" fillId="13" borderId="22" xfId="0" applyNumberFormat="1" applyFont="1" applyFill="1" applyBorder="1" applyAlignment="1">
      <alignment horizontal="center" vertical="center"/>
    </xf>
    <xf numFmtId="164" fontId="7" fillId="12" borderId="2" xfId="0" applyNumberFormat="1" applyFont="1" applyFill="1" applyBorder="1" applyAlignment="1">
      <alignment horizontal="center" vertical="center"/>
    </xf>
    <xf numFmtId="164" fontId="4" fillId="15" borderId="2" xfId="0" applyNumberFormat="1" applyFont="1" applyFill="1" applyBorder="1" applyAlignment="1">
      <alignment horizontal="center" vertical="center"/>
    </xf>
    <xf numFmtId="164" fontId="4" fillId="15" borderId="5" xfId="0" applyNumberFormat="1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vertical="center"/>
    </xf>
    <xf numFmtId="164" fontId="12" fillId="7" borderId="2" xfId="0" applyNumberFormat="1" applyFont="1" applyFill="1" applyBorder="1" applyAlignment="1">
      <alignment vertical="center"/>
    </xf>
    <xf numFmtId="0" fontId="11" fillId="7" borderId="2" xfId="0" applyFont="1" applyFill="1" applyBorder="1" applyAlignment="1">
      <alignment horizontal="center" vertical="center"/>
    </xf>
    <xf numFmtId="49" fontId="11" fillId="7" borderId="2" xfId="0" applyNumberFormat="1" applyFont="1" applyFill="1" applyBorder="1" applyAlignment="1">
      <alignment horizontal="center" vertical="center"/>
    </xf>
    <xf numFmtId="164" fontId="0" fillId="7" borderId="2" xfId="0" applyNumberFormat="1" applyFill="1" applyBorder="1" applyAlignment="1">
      <alignment horizontal="center" vertical="center"/>
    </xf>
    <xf numFmtId="10" fontId="11" fillId="7" borderId="2" xfId="1" applyNumberFormat="1" applyFont="1" applyFill="1" applyBorder="1" applyAlignment="1">
      <alignment horizontal="center" vertical="center"/>
    </xf>
    <xf numFmtId="0" fontId="0" fillId="7" borderId="2" xfId="0" applyFill="1" applyBorder="1"/>
    <xf numFmtId="10" fontId="4" fillId="6" borderId="10" xfId="0" applyNumberFormat="1" applyFont="1" applyFill="1" applyBorder="1" applyAlignment="1">
      <alignment horizontal="center" vertical="center"/>
    </xf>
    <xf numFmtId="10" fontId="3" fillId="8" borderId="11" xfId="1" applyNumberFormat="1" applyFont="1" applyFill="1" applyBorder="1" applyAlignment="1">
      <alignment horizontal="center" vertical="center"/>
    </xf>
    <xf numFmtId="10" fontId="3" fillId="8" borderId="19" xfId="1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10" fontId="4" fillId="6" borderId="14" xfId="1" applyNumberFormat="1" applyFont="1" applyFill="1" applyBorder="1" applyAlignment="1">
      <alignment horizontal="center" vertical="center"/>
    </xf>
    <xf numFmtId="164" fontId="7" fillId="12" borderId="2" xfId="0" applyNumberFormat="1" applyFont="1" applyFill="1" applyBorder="1" applyAlignment="1">
      <alignment vertical="center"/>
    </xf>
    <xf numFmtId="164" fontId="4" fillId="9" borderId="6" xfId="0" applyNumberFormat="1" applyFont="1" applyFill="1" applyBorder="1" applyAlignment="1">
      <alignment horizontal="center" vertical="center"/>
    </xf>
    <xf numFmtId="10" fontId="4" fillId="9" borderId="16" xfId="1" applyNumberFormat="1" applyFont="1" applyFill="1" applyBorder="1" applyAlignment="1">
      <alignment horizontal="center" vertical="center" wrapText="1"/>
    </xf>
    <xf numFmtId="164" fontId="4" fillId="9" borderId="16" xfId="0" applyNumberFormat="1" applyFont="1" applyFill="1" applyBorder="1" applyAlignment="1">
      <alignment horizontal="center" vertical="center"/>
    </xf>
    <xf numFmtId="10" fontId="4" fillId="9" borderId="6" xfId="1" applyNumberFormat="1" applyFont="1" applyFill="1" applyBorder="1" applyAlignment="1">
      <alignment horizontal="center" vertical="center" wrapText="1"/>
    </xf>
    <xf numFmtId="0" fontId="16" fillId="7" borderId="2" xfId="0" applyFont="1" applyFill="1" applyBorder="1"/>
    <xf numFmtId="0" fontId="17" fillId="0" borderId="0" xfId="0" applyFont="1"/>
    <xf numFmtId="0" fontId="19" fillId="7" borderId="2" xfId="0" applyFont="1" applyFill="1" applyBorder="1"/>
    <xf numFmtId="0" fontId="16" fillId="0" borderId="2" xfId="0" applyFont="1" applyBorder="1"/>
    <xf numFmtId="0" fontId="20" fillId="0" borderId="0" xfId="0" applyFont="1"/>
    <xf numFmtId="10" fontId="4" fillId="4" borderId="6" xfId="0" applyNumberFormat="1" applyFont="1" applyFill="1" applyBorder="1" applyAlignment="1">
      <alignment horizontal="center" vertical="center"/>
    </xf>
    <xf numFmtId="10" fontId="4" fillId="9" borderId="6" xfId="0" applyNumberFormat="1" applyFont="1" applyFill="1" applyBorder="1" applyAlignment="1">
      <alignment horizontal="center" vertical="center"/>
    </xf>
    <xf numFmtId="0" fontId="19" fillId="7" borderId="46" xfId="0" applyFont="1" applyFill="1" applyBorder="1"/>
    <xf numFmtId="164" fontId="0" fillId="7" borderId="55" xfId="0" applyNumberFormat="1" applyFill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55" xfId="0" applyBorder="1" applyAlignment="1">
      <alignment horizontal="center"/>
    </xf>
    <xf numFmtId="164" fontId="4" fillId="14" borderId="60" xfId="0" applyNumberFormat="1" applyFont="1" applyFill="1" applyBorder="1" applyAlignment="1">
      <alignment vertical="center"/>
    </xf>
    <xf numFmtId="164" fontId="4" fillId="14" borderId="61" xfId="0" applyNumberFormat="1" applyFont="1" applyFill="1" applyBorder="1" applyAlignment="1">
      <alignment vertical="center"/>
    </xf>
    <xf numFmtId="164" fontId="4" fillId="14" borderId="62" xfId="0" applyNumberFormat="1" applyFont="1" applyFill="1" applyBorder="1" applyAlignment="1">
      <alignment vertical="center"/>
    </xf>
    <xf numFmtId="164" fontId="4" fillId="13" borderId="60" xfId="0" applyNumberFormat="1" applyFont="1" applyFill="1" applyBorder="1" applyAlignment="1">
      <alignment horizontal="center" vertical="center"/>
    </xf>
    <xf numFmtId="164" fontId="4" fillId="13" borderId="63" xfId="0" applyNumberFormat="1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left" vertical="center"/>
    </xf>
    <xf numFmtId="0" fontId="4" fillId="9" borderId="19" xfId="0" applyFont="1" applyFill="1" applyBorder="1" applyAlignment="1">
      <alignment horizontal="left" vertical="center"/>
    </xf>
    <xf numFmtId="164" fontId="4" fillId="9" borderId="38" xfId="0" applyNumberFormat="1" applyFont="1" applyFill="1" applyBorder="1" applyAlignment="1">
      <alignment horizontal="center" vertical="center"/>
    </xf>
    <xf numFmtId="10" fontId="4" fillId="9" borderId="11" xfId="1" applyNumberFormat="1" applyFont="1" applyFill="1" applyBorder="1" applyAlignment="1">
      <alignment horizontal="center" vertical="center" wrapText="1"/>
    </xf>
    <xf numFmtId="10" fontId="4" fillId="6" borderId="11" xfId="1" applyNumberFormat="1" applyFont="1" applyFill="1" applyBorder="1" applyAlignment="1">
      <alignment horizontal="center" vertical="center" wrapText="1"/>
    </xf>
    <xf numFmtId="164" fontId="4" fillId="9" borderId="11" xfId="0" applyNumberFormat="1" applyFont="1" applyFill="1" applyBorder="1" applyAlignment="1">
      <alignment horizontal="center" vertical="center"/>
    </xf>
    <xf numFmtId="10" fontId="4" fillId="9" borderId="38" xfId="1" applyNumberFormat="1" applyFont="1" applyFill="1" applyBorder="1" applyAlignment="1">
      <alignment horizontal="center" vertical="center" wrapText="1"/>
    </xf>
    <xf numFmtId="10" fontId="4" fillId="6" borderId="38" xfId="1" applyNumberFormat="1" applyFont="1" applyFill="1" applyBorder="1" applyAlignment="1">
      <alignment horizontal="center" vertical="center" wrapText="1"/>
    </xf>
    <xf numFmtId="164" fontId="4" fillId="12" borderId="46" xfId="0" applyNumberFormat="1" applyFont="1" applyFill="1" applyBorder="1" applyAlignment="1">
      <alignment vertical="center"/>
    </xf>
    <xf numFmtId="164" fontId="4" fillId="14" borderId="55" xfId="0" applyNumberFormat="1" applyFont="1" applyFill="1" applyBorder="1" applyAlignment="1">
      <alignment vertical="center"/>
    </xf>
    <xf numFmtId="164" fontId="4" fillId="12" borderId="61" xfId="0" applyNumberFormat="1" applyFont="1" applyFill="1" applyBorder="1" applyAlignment="1">
      <alignment vertical="center"/>
    </xf>
    <xf numFmtId="0" fontId="14" fillId="0" borderId="61" xfId="0" applyFont="1" applyBorder="1" applyAlignment="1">
      <alignment horizontal="left"/>
    </xf>
    <xf numFmtId="164" fontId="0" fillId="7" borderId="61" xfId="0" applyNumberFormat="1" applyFill="1" applyBorder="1" applyAlignment="1">
      <alignment horizontal="center" vertical="center"/>
    </xf>
    <xf numFmtId="164" fontId="4" fillId="14" borderId="48" xfId="0" applyNumberFormat="1" applyFont="1" applyFill="1" applyBorder="1" applyAlignment="1">
      <alignment vertical="center"/>
    </xf>
    <xf numFmtId="164" fontId="4" fillId="14" borderId="64" xfId="0" applyNumberFormat="1" applyFont="1" applyFill="1" applyBorder="1" applyAlignment="1">
      <alignment vertical="center"/>
    </xf>
    <xf numFmtId="164" fontId="4" fillId="14" borderId="49" xfId="0" applyNumberFormat="1" applyFont="1" applyFill="1" applyBorder="1" applyAlignment="1">
      <alignment vertical="center"/>
    </xf>
    <xf numFmtId="0" fontId="11" fillId="0" borderId="49" xfId="0" applyFont="1" applyBorder="1" applyAlignment="1">
      <alignment horizontal="center" vertical="center"/>
    </xf>
    <xf numFmtId="164" fontId="4" fillId="14" borderId="56" xfId="0" applyNumberFormat="1" applyFont="1" applyFill="1" applyBorder="1" applyAlignment="1">
      <alignment vertical="center"/>
    </xf>
    <xf numFmtId="164" fontId="4" fillId="13" borderId="39" xfId="0" applyNumberFormat="1" applyFont="1" applyFill="1" applyBorder="1" applyAlignment="1">
      <alignment horizontal="center" vertical="center"/>
    </xf>
    <xf numFmtId="164" fontId="4" fillId="14" borderId="44" xfId="0" applyNumberFormat="1" applyFont="1" applyFill="1" applyBorder="1" applyAlignment="1">
      <alignment vertical="center"/>
    </xf>
    <xf numFmtId="164" fontId="7" fillId="3" borderId="8" xfId="0" applyNumberFormat="1" applyFont="1" applyFill="1" applyBorder="1" applyAlignment="1">
      <alignment horizontal="center" vertical="center"/>
    </xf>
    <xf numFmtId="164" fontId="7" fillId="3" borderId="40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0" borderId="1" xfId="0" applyFont="1" applyBorder="1"/>
    <xf numFmtId="164" fontId="4" fillId="3" borderId="5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0" fillId="0" borderId="0" xfId="0"/>
    <xf numFmtId="0" fontId="3" fillId="0" borderId="19" xfId="0" applyFont="1" applyBorder="1" applyAlignment="1">
      <alignment horizontal="left" vertical="center"/>
    </xf>
    <xf numFmtId="9" fontId="3" fillId="0" borderId="5" xfId="1" applyFont="1" applyBorder="1" applyAlignment="1">
      <alignment horizontal="center" vertical="center"/>
    </xf>
    <xf numFmtId="9" fontId="2" fillId="0" borderId="5" xfId="1" applyFont="1" applyBorder="1" applyAlignment="1"/>
    <xf numFmtId="164" fontId="7" fillId="3" borderId="5" xfId="0" applyNumberFormat="1" applyFont="1" applyFill="1" applyBorder="1" applyAlignment="1">
      <alignment horizontal="center" vertical="center"/>
    </xf>
    <xf numFmtId="164" fontId="7" fillId="3" borderId="4" xfId="0" applyNumberFormat="1" applyFont="1" applyFill="1" applyBorder="1" applyAlignment="1">
      <alignment horizontal="center" vertical="center"/>
    </xf>
    <xf numFmtId="164" fontId="4" fillId="3" borderId="5" xfId="0" applyNumberFormat="1" applyFont="1" applyFill="1" applyBorder="1" applyAlignment="1">
      <alignment horizontal="left" vertical="center"/>
    </xf>
    <xf numFmtId="0" fontId="13" fillId="7" borderId="2" xfId="0" applyFont="1" applyFill="1" applyBorder="1" applyAlignment="1">
      <alignment horizontal="center" vertical="center"/>
    </xf>
    <xf numFmtId="164" fontId="4" fillId="15" borderId="27" xfId="0" applyNumberFormat="1" applyFont="1" applyFill="1" applyBorder="1" applyAlignment="1">
      <alignment horizontal="center" vertical="center"/>
    </xf>
    <xf numFmtId="164" fontId="4" fillId="15" borderId="28" xfId="0" applyNumberFormat="1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164" fontId="12" fillId="7" borderId="2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8" fillId="16" borderId="23" xfId="0" applyFont="1" applyFill="1" applyBorder="1" applyAlignment="1">
      <alignment horizontal="center" vertical="center"/>
    </xf>
    <xf numFmtId="0" fontId="16" fillId="11" borderId="24" xfId="0" applyFont="1" applyFill="1" applyBorder="1"/>
    <xf numFmtId="164" fontId="4" fillId="15" borderId="25" xfId="0" applyNumberFormat="1" applyFont="1" applyFill="1" applyBorder="1" applyAlignment="1">
      <alignment horizontal="center" vertical="center"/>
    </xf>
    <xf numFmtId="164" fontId="4" fillId="15" borderId="26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left" vertical="center"/>
    </xf>
    <xf numFmtId="164" fontId="0" fillId="0" borderId="25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164" fontId="7" fillId="15" borderId="35" xfId="0" applyNumberFormat="1" applyFont="1" applyFill="1" applyBorder="1" applyAlignment="1">
      <alignment horizontal="center" vertical="center"/>
    </xf>
    <xf numFmtId="164" fontId="7" fillId="15" borderId="31" xfId="0" applyNumberFormat="1" applyFont="1" applyFill="1" applyBorder="1" applyAlignment="1">
      <alignment horizontal="center" vertical="center"/>
    </xf>
    <xf numFmtId="164" fontId="4" fillId="13" borderId="36" xfId="0" applyNumberFormat="1" applyFont="1" applyFill="1" applyBorder="1" applyAlignment="1">
      <alignment horizontal="center" vertical="center"/>
    </xf>
    <xf numFmtId="164" fontId="4" fillId="13" borderId="37" xfId="0" applyNumberFormat="1" applyFont="1" applyFill="1" applyBorder="1" applyAlignment="1">
      <alignment horizontal="center" vertical="center"/>
    </xf>
    <xf numFmtId="164" fontId="4" fillId="14" borderId="25" xfId="0" applyNumberFormat="1" applyFont="1" applyFill="1" applyBorder="1" applyAlignment="1">
      <alignment horizontal="left" vertical="center"/>
    </xf>
    <xf numFmtId="164" fontId="4" fillId="14" borderId="26" xfId="0" applyNumberFormat="1" applyFont="1" applyFill="1" applyBorder="1" applyAlignment="1">
      <alignment horizontal="left" vertical="center"/>
    </xf>
    <xf numFmtId="164" fontId="4" fillId="15" borderId="25" xfId="0" applyNumberFormat="1" applyFont="1" applyFill="1" applyBorder="1" applyAlignment="1">
      <alignment horizontal="left" vertical="center"/>
    </xf>
    <xf numFmtId="164" fontId="4" fillId="15" borderId="26" xfId="0" applyNumberFormat="1" applyFont="1" applyFill="1" applyBorder="1" applyAlignment="1">
      <alignment horizontal="left" vertical="center"/>
    </xf>
    <xf numFmtId="164" fontId="4" fillId="15" borderId="27" xfId="0" applyNumberFormat="1" applyFont="1" applyFill="1" applyBorder="1" applyAlignment="1">
      <alignment horizontal="left" vertical="center"/>
    </xf>
    <xf numFmtId="164" fontId="4" fillId="15" borderId="28" xfId="0" applyNumberFormat="1" applyFont="1" applyFill="1" applyBorder="1" applyAlignment="1">
      <alignment horizontal="left" vertical="center"/>
    </xf>
    <xf numFmtId="164" fontId="7" fillId="15" borderId="35" xfId="0" applyNumberFormat="1" applyFont="1" applyFill="1" applyBorder="1" applyAlignment="1">
      <alignment horizontal="left" vertical="center"/>
    </xf>
    <xf numFmtId="164" fontId="7" fillId="15" borderId="31" xfId="0" applyNumberFormat="1" applyFont="1" applyFill="1" applyBorder="1" applyAlignment="1">
      <alignment horizontal="left" vertical="center"/>
    </xf>
    <xf numFmtId="164" fontId="21" fillId="15" borderId="35" xfId="0" applyNumberFormat="1" applyFont="1" applyFill="1" applyBorder="1" applyAlignment="1">
      <alignment horizontal="center" vertical="center"/>
    </xf>
    <xf numFmtId="164" fontId="21" fillId="15" borderId="31" xfId="0" applyNumberFormat="1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164" fontId="4" fillId="14" borderId="29" xfId="0" applyNumberFormat="1" applyFont="1" applyFill="1" applyBorder="1" applyAlignment="1">
      <alignment horizontal="left" vertical="center"/>
    </xf>
    <xf numFmtId="164" fontId="4" fillId="14" borderId="30" xfId="0" applyNumberFormat="1" applyFont="1" applyFill="1" applyBorder="1" applyAlignment="1">
      <alignment horizontal="left" vertical="center"/>
    </xf>
    <xf numFmtId="0" fontId="0" fillId="0" borderId="25" xfId="0" applyBorder="1" applyAlignment="1">
      <alignment horizontal="center"/>
    </xf>
    <xf numFmtId="0" fontId="4" fillId="9" borderId="43" xfId="0" applyFont="1" applyFill="1" applyBorder="1" applyAlignment="1">
      <alignment horizontal="left" vertical="center"/>
    </xf>
    <xf numFmtId="0" fontId="4" fillId="9" borderId="20" xfId="0" applyFont="1" applyFill="1" applyBorder="1" applyAlignment="1">
      <alignment horizontal="left" vertical="center"/>
    </xf>
    <xf numFmtId="164" fontId="4" fillId="14" borderId="56" xfId="0" applyNumberFormat="1" applyFont="1" applyFill="1" applyBorder="1" applyAlignment="1">
      <alignment horizontal="left" vertical="center"/>
    </xf>
    <xf numFmtId="164" fontId="4" fillId="14" borderId="58" xfId="0" applyNumberFormat="1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164" fontId="4" fillId="13" borderId="59" xfId="0" applyNumberFormat="1" applyFont="1" applyFill="1" applyBorder="1" applyAlignment="1">
      <alignment horizontal="center" vertical="center"/>
    </xf>
    <xf numFmtId="164" fontId="4" fillId="13" borderId="24" xfId="0" applyNumberFormat="1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/>
    </xf>
    <xf numFmtId="0" fontId="3" fillId="0" borderId="56" xfId="0" applyFont="1" applyBorder="1" applyAlignment="1">
      <alignment horizontal="left" vertical="center"/>
    </xf>
    <xf numFmtId="0" fontId="3" fillId="0" borderId="57" xfId="0" applyFont="1" applyBorder="1" applyAlignment="1">
      <alignment horizontal="left" vertical="center"/>
    </xf>
    <xf numFmtId="0" fontId="2" fillId="0" borderId="57" xfId="0" applyFont="1" applyBorder="1"/>
    <xf numFmtId="0" fontId="2" fillId="0" borderId="58" xfId="0" applyFont="1" applyBorder="1"/>
    <xf numFmtId="9" fontId="2" fillId="0" borderId="6" xfId="1" applyFont="1" applyBorder="1" applyAlignment="1"/>
    <xf numFmtId="0" fontId="18" fillId="16" borderId="44" xfId="0" applyFont="1" applyFill="1" applyBorder="1" applyAlignment="1">
      <alignment horizontal="center" vertical="center"/>
    </xf>
    <xf numFmtId="0" fontId="18" fillId="16" borderId="45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164" fontId="4" fillId="15" borderId="41" xfId="0" applyNumberFormat="1" applyFont="1" applyFill="1" applyBorder="1" applyAlignment="1">
      <alignment horizontal="center" vertical="center"/>
    </xf>
    <xf numFmtId="164" fontId="4" fillId="15" borderId="42" xfId="0" applyNumberFormat="1" applyFont="1" applyFill="1" applyBorder="1" applyAlignment="1">
      <alignment horizontal="center" vertical="center"/>
    </xf>
    <xf numFmtId="164" fontId="4" fillId="15" borderId="49" xfId="0" applyNumberFormat="1" applyFont="1" applyFill="1" applyBorder="1" applyAlignment="1">
      <alignment horizontal="left" vertical="center"/>
    </xf>
    <xf numFmtId="164" fontId="4" fillId="15" borderId="2" xfId="0" applyNumberFormat="1" applyFont="1" applyFill="1" applyBorder="1" applyAlignment="1">
      <alignment horizontal="center" vertical="center"/>
    </xf>
    <xf numFmtId="164" fontId="4" fillId="15" borderId="5" xfId="0" applyNumberFormat="1" applyFont="1" applyFill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8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left" vertical="center"/>
    </xf>
    <xf numFmtId="164" fontId="4" fillId="15" borderId="51" xfId="0" applyNumberFormat="1" applyFont="1" applyFill="1" applyBorder="1" applyAlignment="1">
      <alignment horizontal="left" vertical="center"/>
    </xf>
    <xf numFmtId="164" fontId="4" fillId="15" borderId="42" xfId="0" applyNumberFormat="1" applyFont="1" applyFill="1" applyBorder="1" applyAlignment="1">
      <alignment horizontal="left" vertical="center"/>
    </xf>
    <xf numFmtId="164" fontId="4" fillId="3" borderId="7" xfId="0" applyNumberFormat="1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4" fillId="10" borderId="7" xfId="0" applyFont="1" applyFill="1" applyBorder="1" applyAlignment="1">
      <alignment horizontal="left" vertical="center"/>
    </xf>
    <xf numFmtId="0" fontId="4" fillId="10" borderId="6" xfId="0" applyFont="1" applyFill="1" applyBorder="1" applyAlignment="1">
      <alignment horizontal="left" vertical="center"/>
    </xf>
    <xf numFmtId="164" fontId="4" fillId="15" borderId="50" xfId="0" applyNumberFormat="1" applyFont="1" applyFill="1" applyBorder="1" applyAlignment="1">
      <alignment horizontal="center" vertical="center"/>
    </xf>
    <xf numFmtId="164" fontId="4" fillId="15" borderId="52" xfId="0" applyNumberFormat="1" applyFont="1" applyFill="1" applyBorder="1" applyAlignment="1">
      <alignment horizontal="center" vertical="center"/>
    </xf>
    <xf numFmtId="164" fontId="7" fillId="15" borderId="54" xfId="0" applyNumberFormat="1" applyFont="1" applyFill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55" xfId="0" applyBorder="1" applyAlignment="1">
      <alignment horizontal="center"/>
    </xf>
    <xf numFmtId="164" fontId="4" fillId="14" borderId="49" xfId="0" applyNumberFormat="1" applyFont="1" applyFill="1" applyBorder="1" applyAlignment="1">
      <alignment horizontal="left" vertical="center"/>
    </xf>
    <xf numFmtId="164" fontId="4" fillId="14" borderId="55" xfId="0" applyNumberFormat="1" applyFont="1" applyFill="1" applyBorder="1" applyAlignment="1">
      <alignment horizontal="left" vertical="center"/>
    </xf>
    <xf numFmtId="164" fontId="4" fillId="14" borderId="44" xfId="0" applyNumberFormat="1" applyFont="1" applyFill="1" applyBorder="1" applyAlignment="1">
      <alignment horizontal="left" vertical="center"/>
    </xf>
    <xf numFmtId="164" fontId="4" fillId="14" borderId="48" xfId="0" applyNumberFormat="1" applyFont="1" applyFill="1" applyBorder="1" applyAlignment="1">
      <alignment horizontal="left" vertical="center"/>
    </xf>
    <xf numFmtId="164" fontId="0" fillId="0" borderId="49" xfId="0" applyNumberFormat="1" applyBorder="1" applyAlignment="1">
      <alignment horizontal="center"/>
    </xf>
    <xf numFmtId="164" fontId="7" fillId="15" borderId="53" xfId="0" applyNumberFormat="1" applyFont="1" applyFill="1" applyBorder="1" applyAlignment="1">
      <alignment horizontal="left" vertical="center"/>
    </xf>
    <xf numFmtId="164" fontId="7" fillId="15" borderId="8" xfId="0" applyNumberFormat="1" applyFont="1" applyFill="1" applyBorder="1" applyAlignment="1">
      <alignment horizontal="center" vertical="center"/>
    </xf>
  </cellXfs>
  <cellStyles count="4">
    <cellStyle name="Moeda" xfId="3" builtinId="4"/>
    <cellStyle name="Normal" xfId="0" builtinId="0"/>
    <cellStyle name="Normal 2" xfId="2" xr:uid="{00000000-0005-0000-0000-000002000000}"/>
    <cellStyle name="Porcentagem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BF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18</xdr:row>
      <xdr:rowOff>0</xdr:rowOff>
    </xdr:from>
    <xdr:ext cx="14668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699500" y="4324350"/>
          <a:ext cx="1466850" cy="38100"/>
          <a:chOff x="4612575" y="3780000"/>
          <a:chExt cx="14668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 rot="10800000">
            <a:off x="4612575" y="3780000"/>
            <a:ext cx="1466850" cy="0"/>
          </a:xfrm>
          <a:prstGeom prst="straightConnector1">
            <a:avLst/>
          </a:prstGeom>
          <a:solidFill>
            <a:srgbClr val="7CD72C"/>
          </a:solidFill>
          <a:ln w="12700" cap="flat" cmpd="sng">
            <a:solidFill>
              <a:schemeClr val="lt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152400</xdr:colOff>
      <xdr:row>20</xdr:row>
      <xdr:rowOff>0</xdr:rowOff>
    </xdr:from>
    <xdr:ext cx="14668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61A34B3D-0E9E-4529-AD5F-E621200A0E6C}"/>
            </a:ext>
          </a:extLst>
        </xdr:cNvPr>
        <xdr:cNvGrpSpPr/>
      </xdr:nvGrpSpPr>
      <xdr:grpSpPr>
        <a:xfrm>
          <a:off x="11634355" y="4791364"/>
          <a:ext cx="1466850" cy="38100"/>
          <a:chOff x="4612575" y="3780000"/>
          <a:chExt cx="1466850" cy="0"/>
        </a:xfrm>
      </xdr:grpSpPr>
      <xdr:cxnSp macro="">
        <xdr:nvCxnSpPr>
          <xdr:cNvPr id="3" name="Shape 4">
            <a:extLst>
              <a:ext uri="{FF2B5EF4-FFF2-40B4-BE49-F238E27FC236}">
                <a16:creationId xmlns:a16="http://schemas.microsoft.com/office/drawing/2014/main" id="{A7321377-6126-BE65-B185-C1CD6C16E273}"/>
              </a:ext>
            </a:extLst>
          </xdr:cNvPr>
          <xdr:cNvCxnSpPr/>
        </xdr:nvCxnSpPr>
        <xdr:spPr>
          <a:xfrm rot="10800000">
            <a:off x="4612575" y="3780000"/>
            <a:ext cx="1466850" cy="0"/>
          </a:xfrm>
          <a:prstGeom prst="straightConnector1">
            <a:avLst/>
          </a:prstGeom>
          <a:solidFill>
            <a:srgbClr val="7CD72C"/>
          </a:solidFill>
          <a:ln w="12700" cap="flat" cmpd="sng">
            <a:solidFill>
              <a:schemeClr val="lt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1075"/>
  <sheetViews>
    <sheetView showGridLines="0" zoomScaleNormal="100" workbookViewId="0">
      <selection activeCell="I7" sqref="I7:J7"/>
    </sheetView>
  </sheetViews>
  <sheetFormatPr defaultColWidth="14.453125" defaultRowHeight="15.75" customHeight="1" x14ac:dyDescent="0.25"/>
  <cols>
    <col min="1" max="1" width="20.6328125" customWidth="1"/>
    <col min="2" max="2" width="18.90625" customWidth="1"/>
    <col min="3" max="3" width="22.08984375" customWidth="1"/>
    <col min="4" max="4" width="19.81640625" customWidth="1"/>
    <col min="5" max="5" width="0.6328125" customWidth="1"/>
    <col min="6" max="6" width="22" customWidth="1"/>
    <col min="7" max="7" width="19.54296875" customWidth="1"/>
    <col min="8" max="8" width="0.90625" customWidth="1"/>
    <col min="9" max="9" width="17.81640625" customWidth="1"/>
    <col min="10" max="10" width="21.453125" customWidth="1"/>
    <col min="11" max="24" width="14" customWidth="1"/>
  </cols>
  <sheetData>
    <row r="2" spans="1:24" ht="30" customHeight="1" x14ac:dyDescent="0.35">
      <c r="A2" s="142" t="s">
        <v>84</v>
      </c>
      <c r="B2" s="143"/>
      <c r="C2" s="142" t="s">
        <v>72</v>
      </c>
      <c r="D2" s="143"/>
      <c r="E2" s="104"/>
      <c r="F2" s="142" t="s">
        <v>73</v>
      </c>
      <c r="G2" s="143"/>
      <c r="H2" s="105"/>
      <c r="I2" s="142" t="s">
        <v>86</v>
      </c>
      <c r="J2" s="14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8" customHeight="1" x14ac:dyDescent="0.35">
      <c r="A3" s="152" t="s">
        <v>0</v>
      </c>
      <c r="B3" s="152"/>
      <c r="C3" s="144">
        <v>118282.72</v>
      </c>
      <c r="D3" s="145"/>
      <c r="E3" s="66"/>
      <c r="F3" s="144">
        <v>118582.72</v>
      </c>
      <c r="G3" s="145"/>
      <c r="H3" s="1"/>
      <c r="I3" s="144">
        <v>114721.56</v>
      </c>
      <c r="J3" s="14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8" customHeight="1" x14ac:dyDescent="0.35">
      <c r="A4" s="152" t="s">
        <v>1</v>
      </c>
      <c r="B4" s="152"/>
      <c r="C4" s="144">
        <v>2071.7600000000002</v>
      </c>
      <c r="D4" s="145"/>
      <c r="E4" s="66"/>
      <c r="F4" s="144">
        <v>2071.7600000000002</v>
      </c>
      <c r="G4" s="145"/>
      <c r="H4" s="1"/>
      <c r="I4" s="144">
        <v>2071.7600000000002</v>
      </c>
      <c r="J4" s="14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7.25" customHeight="1" x14ac:dyDescent="0.35">
      <c r="A5" s="152" t="s">
        <v>2</v>
      </c>
      <c r="B5" s="152"/>
      <c r="C5" s="144">
        <v>221.76</v>
      </c>
      <c r="D5" s="145"/>
      <c r="E5" s="66"/>
      <c r="F5" s="144">
        <v>403.34</v>
      </c>
      <c r="G5" s="145"/>
      <c r="H5" s="1"/>
      <c r="I5" s="144">
        <v>145.33000000000001</v>
      </c>
      <c r="J5" s="14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7.25" customHeight="1" x14ac:dyDescent="0.35">
      <c r="A6" s="152" t="s">
        <v>3</v>
      </c>
      <c r="B6" s="152"/>
      <c r="C6" s="144">
        <v>113693.81</v>
      </c>
      <c r="D6" s="145"/>
      <c r="E6" s="66"/>
      <c r="F6" s="144">
        <v>111649.76</v>
      </c>
      <c r="G6" s="145"/>
      <c r="H6" s="1"/>
      <c r="I6" s="144">
        <v>98476.41</v>
      </c>
      <c r="J6" s="14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8" customHeight="1" x14ac:dyDescent="0.35">
      <c r="A7" s="163" t="s">
        <v>4</v>
      </c>
      <c r="B7" s="163"/>
      <c r="C7" s="150">
        <f>C3-C6</f>
        <v>4588.9100000000035</v>
      </c>
      <c r="D7" s="151"/>
      <c r="E7" s="54"/>
      <c r="F7" s="140">
        <f>F3-F6</f>
        <v>6932.9600000000064</v>
      </c>
      <c r="G7" s="141"/>
      <c r="H7" s="1"/>
      <c r="I7" s="140">
        <f>I3-I6</f>
        <v>16245.149999999994</v>
      </c>
      <c r="J7" s="14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8" customHeight="1" thickBot="1" x14ac:dyDescent="0.4">
      <c r="A8" s="64"/>
      <c r="B8" s="64"/>
      <c r="C8" s="65"/>
      <c r="D8" s="65"/>
      <c r="E8" s="65"/>
      <c r="F8" s="84"/>
      <c r="G8" s="8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7" customHeight="1" x14ac:dyDescent="0.35">
      <c r="A9" s="159" t="s">
        <v>71</v>
      </c>
      <c r="B9" s="160"/>
      <c r="C9" s="159" t="s">
        <v>72</v>
      </c>
      <c r="D9" s="160"/>
      <c r="E9" s="106"/>
      <c r="F9" s="159" t="s">
        <v>72</v>
      </c>
      <c r="G9" s="16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8" customHeight="1" x14ac:dyDescent="0.35">
      <c r="A10" s="172" t="s">
        <v>75</v>
      </c>
      <c r="B10" s="173"/>
      <c r="C10" s="161">
        <f>SUM(D14+D16+D18)</f>
        <v>113578.451371</v>
      </c>
      <c r="D10" s="162"/>
      <c r="E10" s="85"/>
      <c r="F10" s="161">
        <f>SUM(G14+G16+G18)</f>
        <v>129235.83022</v>
      </c>
      <c r="G10" s="16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8" customHeight="1" x14ac:dyDescent="0.35">
      <c r="A11" s="174" t="s">
        <v>74</v>
      </c>
      <c r="B11" s="175"/>
      <c r="C11" s="154">
        <f>D14+D16+D18</f>
        <v>113578.451371</v>
      </c>
      <c r="D11" s="155"/>
      <c r="E11" s="86"/>
      <c r="F11" s="154">
        <f>SUM(G14+G16)</f>
        <v>82582.224641000008</v>
      </c>
      <c r="G11" s="155"/>
      <c r="H11" s="3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8" customHeight="1" thickBot="1" x14ac:dyDescent="0.4">
      <c r="A12" s="176" t="s">
        <v>4</v>
      </c>
      <c r="B12" s="177"/>
      <c r="C12" s="178">
        <v>0</v>
      </c>
      <c r="D12" s="179"/>
      <c r="E12" s="86"/>
      <c r="F12" s="166">
        <f>G18</f>
        <v>46653.605578999995</v>
      </c>
      <c r="G12" s="167"/>
      <c r="H12" s="3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8" customHeight="1" thickBot="1" x14ac:dyDescent="0.4">
      <c r="A13" s="168" t="s">
        <v>77</v>
      </c>
      <c r="B13" s="169"/>
      <c r="C13" s="76" t="s">
        <v>75</v>
      </c>
      <c r="D13" s="76" t="s">
        <v>76</v>
      </c>
      <c r="E13" s="73"/>
      <c r="F13" s="83" t="s">
        <v>75</v>
      </c>
      <c r="G13" s="83" t="s">
        <v>76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8" customHeight="1" x14ac:dyDescent="0.35">
      <c r="A14" s="170" t="s">
        <v>78</v>
      </c>
      <c r="B14" s="171"/>
      <c r="C14" s="77">
        <v>2440658.67</v>
      </c>
      <c r="D14" s="77">
        <f>C14*2.87%</f>
        <v>70046.903829000003</v>
      </c>
      <c r="E14" s="74"/>
      <c r="F14" s="77">
        <v>2604939.9700000002</v>
      </c>
      <c r="G14" s="77">
        <f>F14*2.87%</f>
        <v>74761.777139000013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8" customHeight="1" x14ac:dyDescent="0.35">
      <c r="A15" s="164"/>
      <c r="B15" s="165"/>
      <c r="C15" s="80"/>
      <c r="D15" s="78"/>
      <c r="E15" s="75"/>
      <c r="F15" s="81"/>
      <c r="G15" s="8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8" customHeight="1" x14ac:dyDescent="0.35">
      <c r="A16" s="170" t="s">
        <v>79</v>
      </c>
      <c r="B16" s="171"/>
      <c r="C16" s="77">
        <v>483324.21</v>
      </c>
      <c r="D16" s="77">
        <f>C16*2.87%</f>
        <v>13871.404827</v>
      </c>
      <c r="E16" s="74"/>
      <c r="F16" s="77">
        <v>272489.46000000002</v>
      </c>
      <c r="G16" s="77">
        <f>F16*2.87%</f>
        <v>7820.4475020000009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8" customHeight="1" x14ac:dyDescent="0.35">
      <c r="A17" s="186"/>
      <c r="B17" s="165"/>
      <c r="C17" s="80"/>
      <c r="D17" s="78"/>
      <c r="E17" s="75"/>
      <c r="F17" s="81"/>
      <c r="G17" s="8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8" customHeight="1" thickBot="1" x14ac:dyDescent="0.4">
      <c r="A18" s="184" t="s">
        <v>80</v>
      </c>
      <c r="B18" s="185"/>
      <c r="C18" s="79">
        <v>1033454.45</v>
      </c>
      <c r="D18" s="79">
        <f>C18*2.87%</f>
        <v>29660.142714999998</v>
      </c>
      <c r="E18" s="74"/>
      <c r="F18" s="79">
        <v>1625561.17</v>
      </c>
      <c r="G18" s="79">
        <f>F18*2.87%</f>
        <v>46653.605578999995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6.5" customHeight="1" x14ac:dyDescent="0.35">
      <c r="A19" s="147"/>
      <c r="B19" s="147"/>
      <c r="C19" s="147"/>
      <c r="D19" s="147"/>
      <c r="E19" s="147"/>
      <c r="F19" s="147"/>
      <c r="G19" s="147"/>
      <c r="H19" s="37"/>
      <c r="I19" s="1"/>
      <c r="J19" s="1"/>
      <c r="K19" s="1"/>
      <c r="L19" s="1"/>
      <c r="M19" s="1"/>
      <c r="N19" s="1"/>
      <c r="O19" s="87"/>
      <c r="P19" s="87"/>
      <c r="Q19" s="156"/>
      <c r="R19" s="156"/>
      <c r="S19" s="87"/>
      <c r="T19" s="1"/>
      <c r="U19" s="1"/>
      <c r="V19" s="1"/>
      <c r="W19" s="1"/>
      <c r="X19" s="1"/>
    </row>
    <row r="20" spans="1:24" s="12" customFormat="1" ht="17.5" x14ac:dyDescent="0.35">
      <c r="A20" s="46" t="s">
        <v>5</v>
      </c>
      <c r="B20" s="63"/>
      <c r="C20" s="100" t="s">
        <v>6</v>
      </c>
      <c r="D20" s="101" t="s">
        <v>7</v>
      </c>
      <c r="E20" s="67"/>
      <c r="F20" s="102" t="s">
        <v>6</v>
      </c>
      <c r="G20" s="103" t="s">
        <v>7</v>
      </c>
      <c r="H20" s="11"/>
      <c r="I20" s="11"/>
      <c r="J20" s="11"/>
      <c r="K20" s="11"/>
      <c r="L20" s="11"/>
      <c r="M20" s="11"/>
      <c r="N20" s="11"/>
      <c r="O20" s="87"/>
      <c r="P20" s="87"/>
      <c r="Q20" s="157"/>
      <c r="R20" s="157"/>
      <c r="S20" s="88"/>
      <c r="T20" s="11"/>
      <c r="U20" s="11"/>
      <c r="V20" s="11"/>
      <c r="W20" s="11"/>
      <c r="X20" s="11"/>
    </row>
    <row r="21" spans="1:24" s="15" customFormat="1" ht="6" customHeight="1" x14ac:dyDescent="0.35">
      <c r="A21" s="13"/>
      <c r="B21" s="57"/>
      <c r="C21" s="24"/>
      <c r="D21" s="25"/>
      <c r="E21" s="25"/>
      <c r="F21" s="24"/>
      <c r="G21" s="38"/>
      <c r="H21" s="14"/>
      <c r="I21" s="14"/>
      <c r="J21" s="14"/>
      <c r="K21" s="14"/>
      <c r="L21" s="14"/>
      <c r="M21" s="14"/>
      <c r="N21" s="14"/>
      <c r="O21" s="158"/>
      <c r="P21" s="158"/>
      <c r="Q21" s="158"/>
      <c r="R21" s="158"/>
      <c r="S21" s="153"/>
      <c r="T21" s="14"/>
      <c r="U21" s="14"/>
      <c r="V21" s="14"/>
      <c r="W21" s="14"/>
      <c r="X21" s="14"/>
    </row>
    <row r="22" spans="1:24" ht="18" thickBot="1" x14ac:dyDescent="0.4">
      <c r="A22" s="187" t="s">
        <v>85</v>
      </c>
      <c r="B22" s="188"/>
      <c r="C22" s="43">
        <f>SUM(C23,C39)</f>
        <v>171831.61</v>
      </c>
      <c r="D22" s="44">
        <f>SUM(D23,D39)</f>
        <v>1.5113541361662521</v>
      </c>
      <c r="E22" s="68"/>
      <c r="F22" s="45">
        <f>SUM(F23,F39)</f>
        <v>167835.62</v>
      </c>
      <c r="G22" s="44">
        <f>SUM(G23,G39)</f>
        <v>1.5032331462244075</v>
      </c>
      <c r="H22" s="1"/>
      <c r="I22" s="1"/>
      <c r="J22" s="1"/>
      <c r="K22" s="1"/>
      <c r="L22" s="1"/>
      <c r="M22" s="1"/>
      <c r="N22" s="1"/>
      <c r="O22" s="158"/>
      <c r="P22" s="158"/>
      <c r="Q22" s="158"/>
      <c r="R22" s="158"/>
      <c r="S22" s="153"/>
      <c r="T22" s="1"/>
      <c r="U22" s="1"/>
      <c r="V22" s="1"/>
      <c r="W22" s="1"/>
      <c r="X22" s="1"/>
    </row>
    <row r="23" spans="1:24" ht="18" customHeight="1" x14ac:dyDescent="0.35">
      <c r="A23" s="34" t="s">
        <v>9</v>
      </c>
      <c r="B23" s="59"/>
      <c r="C23" s="28">
        <f>SUM(C24:C37)</f>
        <v>77890.989999999991</v>
      </c>
      <c r="D23" s="29">
        <f>SUM(D24:D37)</f>
        <v>0.68509437760947578</v>
      </c>
      <c r="E23" s="69"/>
      <c r="F23" s="30">
        <f>SUM(F24:F37)</f>
        <v>35750.81</v>
      </c>
      <c r="G23" s="32">
        <f>SUM(G24:G37)</f>
        <v>0.32020498745362286</v>
      </c>
      <c r="H23" s="1"/>
      <c r="I23" s="1"/>
      <c r="J23" s="1"/>
      <c r="K23" s="1"/>
      <c r="L23" s="1"/>
      <c r="M23" s="1"/>
      <c r="N23" s="1"/>
      <c r="O23" s="89"/>
      <c r="P23" s="90"/>
      <c r="Q23" s="91"/>
      <c r="R23" s="91"/>
      <c r="S23" s="92"/>
      <c r="T23" s="1"/>
      <c r="U23" s="1"/>
      <c r="V23" s="1"/>
      <c r="W23" s="1"/>
      <c r="X23" s="1"/>
    </row>
    <row r="24" spans="1:24" ht="18" customHeight="1" x14ac:dyDescent="0.35">
      <c r="A24" s="4" t="s">
        <v>10</v>
      </c>
      <c r="B24" s="60"/>
      <c r="C24" s="26">
        <v>326.77999999999997</v>
      </c>
      <c r="D24" s="27">
        <f>IFERROR(C24/$C$6,0)</f>
        <v>2.8742110058586302E-3</v>
      </c>
      <c r="E24" s="70"/>
      <c r="F24" s="31">
        <v>264.86</v>
      </c>
      <c r="G24" s="33">
        <f t="shared" ref="G24:G37" si="0">IFERROR(F24/$F$6,0)</f>
        <v>2.3722397611960835E-3</v>
      </c>
      <c r="H24" s="1"/>
      <c r="I24" s="1"/>
      <c r="J24" s="1"/>
      <c r="K24" s="1"/>
      <c r="L24" s="1"/>
      <c r="M24" s="1"/>
      <c r="N24" s="1"/>
      <c r="O24" s="93"/>
      <c r="P24" s="89"/>
      <c r="Q24" s="89"/>
      <c r="R24" s="91"/>
      <c r="S24" s="92"/>
      <c r="T24" s="1"/>
      <c r="U24" s="1"/>
      <c r="V24" s="1"/>
      <c r="W24" s="1"/>
      <c r="X24" s="1"/>
    </row>
    <row r="25" spans="1:24" ht="18" customHeight="1" x14ac:dyDescent="0.35">
      <c r="A25" s="4" t="s">
        <v>11</v>
      </c>
      <c r="B25" s="61"/>
      <c r="C25" s="5">
        <v>800</v>
      </c>
      <c r="D25" s="7">
        <f t="shared" ref="D25:D37" si="1">IFERROR(C25/$C$6,0)</f>
        <v>7.0364428811032021E-3</v>
      </c>
      <c r="E25" s="19"/>
      <c r="F25" s="5">
        <v>800</v>
      </c>
      <c r="G25" s="7">
        <f t="shared" si="0"/>
        <v>7.1652639468280099E-3</v>
      </c>
      <c r="H25" s="1"/>
      <c r="I25" s="1"/>
      <c r="J25" s="1"/>
      <c r="K25" s="1"/>
      <c r="L25" s="1"/>
      <c r="M25" s="1"/>
      <c r="N25" s="1"/>
      <c r="O25" s="89"/>
      <c r="P25" s="90"/>
      <c r="Q25" s="91"/>
      <c r="R25" s="91"/>
      <c r="S25" s="92"/>
      <c r="T25" s="1"/>
      <c r="U25" s="1"/>
      <c r="V25" s="1"/>
      <c r="W25" s="1"/>
      <c r="X25" s="1"/>
    </row>
    <row r="26" spans="1:24" ht="18" customHeight="1" x14ac:dyDescent="0.35">
      <c r="A26" s="4" t="s">
        <v>12</v>
      </c>
      <c r="B26" s="61"/>
      <c r="C26" s="5">
        <v>1140.8800000000001</v>
      </c>
      <c r="D26" s="7">
        <f t="shared" si="1"/>
        <v>1.0034671192741276E-2</v>
      </c>
      <c r="E26" s="19"/>
      <c r="F26" s="5">
        <v>1068</v>
      </c>
      <c r="G26" s="7">
        <f t="shared" si="0"/>
        <v>9.5656273690153931E-3</v>
      </c>
      <c r="H26" s="1"/>
      <c r="I26" s="23"/>
      <c r="J26" s="1"/>
      <c r="K26" s="1"/>
      <c r="L26" s="1"/>
      <c r="M26" s="1"/>
      <c r="N26" s="1"/>
      <c r="O26" s="93"/>
      <c r="P26" s="89"/>
      <c r="Q26" s="89"/>
      <c r="R26" s="91"/>
      <c r="S26" s="92"/>
      <c r="T26" s="1"/>
      <c r="U26" s="1"/>
      <c r="V26" s="1"/>
      <c r="W26" s="1"/>
      <c r="X26" s="1"/>
    </row>
    <row r="27" spans="1:24" ht="18" customHeight="1" x14ac:dyDescent="0.35">
      <c r="A27" s="4" t="s">
        <v>13</v>
      </c>
      <c r="B27" s="61"/>
      <c r="C27" s="5">
        <v>2357.33</v>
      </c>
      <c r="D27" s="7">
        <f t="shared" si="1"/>
        <v>2.0734022371138763E-2</v>
      </c>
      <c r="E27" s="19"/>
      <c r="F27" s="5">
        <v>3488.62</v>
      </c>
      <c r="G27" s="7">
        <f t="shared" si="0"/>
        <v>3.1246103887728912E-2</v>
      </c>
      <c r="H27" s="1"/>
      <c r="I27" s="1"/>
      <c r="J27" s="1"/>
      <c r="K27" s="1"/>
      <c r="L27" s="1"/>
      <c r="M27" s="1"/>
      <c r="N27" s="1"/>
      <c r="O27" s="89"/>
      <c r="P27" s="90"/>
      <c r="Q27" s="91"/>
      <c r="R27" s="91"/>
      <c r="S27" s="92"/>
      <c r="T27" s="1"/>
      <c r="U27" s="1"/>
      <c r="V27" s="1"/>
      <c r="W27" s="1"/>
      <c r="X27" s="1"/>
    </row>
    <row r="28" spans="1:24" ht="18" customHeight="1" x14ac:dyDescent="0.35">
      <c r="A28" s="4" t="s">
        <v>14</v>
      </c>
      <c r="B28" s="61"/>
      <c r="C28" s="5">
        <v>3610.46</v>
      </c>
      <c r="D28" s="7">
        <f t="shared" si="1"/>
        <v>3.1755994455634831E-2</v>
      </c>
      <c r="E28" s="19"/>
      <c r="F28" s="5">
        <v>3372.33</v>
      </c>
      <c r="G28" s="7">
        <f t="shared" si="0"/>
        <v>3.0204543207258128E-2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8" customHeight="1" x14ac:dyDescent="0.35">
      <c r="A29" s="4" t="s">
        <v>15</v>
      </c>
      <c r="B29" s="61"/>
      <c r="C29" s="5">
        <v>699.02</v>
      </c>
      <c r="D29" s="7">
        <f t="shared" si="1"/>
        <v>6.1482678784359496E-3</v>
      </c>
      <c r="E29" s="19"/>
      <c r="F29" s="5">
        <v>672.5</v>
      </c>
      <c r="G29" s="7">
        <f t="shared" si="0"/>
        <v>6.0233000053022956E-3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8" customHeight="1" x14ac:dyDescent="0.35">
      <c r="A30" s="4" t="s">
        <v>16</v>
      </c>
      <c r="B30" s="61"/>
      <c r="C30" s="5">
        <v>45.82</v>
      </c>
      <c r="D30" s="7">
        <f t="shared" si="1"/>
        <v>4.0301226601518591E-4</v>
      </c>
      <c r="E30" s="19"/>
      <c r="F30" s="5">
        <v>32.130000000000003</v>
      </c>
      <c r="G30" s="7">
        <f t="shared" si="0"/>
        <v>2.8777491326447996E-4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8" customHeight="1" x14ac:dyDescent="0.35">
      <c r="A31" s="4" t="s">
        <v>17</v>
      </c>
      <c r="B31" s="61"/>
      <c r="C31" s="5">
        <v>106.58</v>
      </c>
      <c r="D31" s="7">
        <f t="shared" si="1"/>
        <v>9.374301028349741E-4</v>
      </c>
      <c r="E31" s="19"/>
      <c r="F31" s="5">
        <v>103.65</v>
      </c>
      <c r="G31" s="7">
        <f t="shared" si="0"/>
        <v>9.2834951011090401E-4</v>
      </c>
      <c r="H31" s="1"/>
      <c r="I31" s="1"/>
      <c r="J31" s="1"/>
      <c r="K31" s="1"/>
      <c r="L31" s="1"/>
      <c r="M31" s="1"/>
      <c r="N31" s="1"/>
      <c r="O31" s="11"/>
      <c r="P31" s="11"/>
      <c r="Q31" s="11"/>
      <c r="R31" s="11"/>
      <c r="S31" s="11"/>
      <c r="T31" s="1"/>
      <c r="U31" s="1"/>
      <c r="V31" s="1"/>
      <c r="W31" s="1"/>
      <c r="X31" s="1"/>
    </row>
    <row r="32" spans="1:24" ht="18" customHeight="1" x14ac:dyDescent="0.35">
      <c r="A32" s="4" t="s">
        <v>18</v>
      </c>
      <c r="B32" s="61"/>
      <c r="C32" s="5">
        <v>585.34</v>
      </c>
      <c r="D32" s="7">
        <f t="shared" si="1"/>
        <v>5.1483893450311857E-3</v>
      </c>
      <c r="E32" s="19"/>
      <c r="F32" s="5">
        <v>585.34</v>
      </c>
      <c r="G32" s="7">
        <f t="shared" si="0"/>
        <v>5.2426444982953844E-3</v>
      </c>
      <c r="H32" s="1"/>
      <c r="I32" s="1"/>
      <c r="J32" s="1"/>
      <c r="K32" s="1"/>
      <c r="L32" s="1"/>
      <c r="M32" s="1"/>
      <c r="N32" s="1"/>
      <c r="O32" s="14"/>
      <c r="P32" s="14"/>
      <c r="Q32" s="14"/>
      <c r="R32" s="14"/>
      <c r="S32" s="14"/>
      <c r="T32" s="1"/>
      <c r="U32" s="1"/>
      <c r="V32" s="1"/>
      <c r="W32" s="1"/>
      <c r="X32" s="1"/>
    </row>
    <row r="33" spans="1:24" ht="18" customHeight="1" x14ac:dyDescent="0.35">
      <c r="A33" s="4" t="s">
        <v>19</v>
      </c>
      <c r="B33" s="61"/>
      <c r="C33" s="9">
        <v>0</v>
      </c>
      <c r="D33" s="7">
        <f t="shared" si="1"/>
        <v>0</v>
      </c>
      <c r="E33" s="18"/>
      <c r="F33" s="9">
        <v>0</v>
      </c>
      <c r="G33" s="7">
        <f t="shared" si="0"/>
        <v>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35">
      <c r="A34" s="4" t="s">
        <v>20</v>
      </c>
      <c r="B34" s="61"/>
      <c r="C34" s="9">
        <v>44668.03</v>
      </c>
      <c r="D34" s="7">
        <f t="shared" si="1"/>
        <v>0.39288005213300531</v>
      </c>
      <c r="E34" s="18"/>
      <c r="F34" s="9">
        <v>11153.9</v>
      </c>
      <c r="G34" s="7">
        <f t="shared" si="0"/>
        <v>9.9900796920656162E-2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8" customHeight="1" x14ac:dyDescent="0.35">
      <c r="A35" s="4" t="s">
        <v>21</v>
      </c>
      <c r="B35" s="61"/>
      <c r="C35" s="9">
        <v>4344.32</v>
      </c>
      <c r="D35" s="7">
        <f t="shared" si="1"/>
        <v>3.8210699421542822E-2</v>
      </c>
      <c r="E35" s="18"/>
      <c r="F35" s="9">
        <v>4434.32</v>
      </c>
      <c r="G35" s="7">
        <f t="shared" si="0"/>
        <v>3.9716341530872973E-2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8" customHeight="1" x14ac:dyDescent="0.35">
      <c r="A36" s="4" t="s">
        <v>22</v>
      </c>
      <c r="B36" s="61"/>
      <c r="C36" s="9">
        <v>0</v>
      </c>
      <c r="D36" s="7">
        <f t="shared" si="1"/>
        <v>0</v>
      </c>
      <c r="E36" s="18"/>
      <c r="F36" s="9">
        <v>0</v>
      </c>
      <c r="G36" s="7">
        <f t="shared" si="0"/>
        <v>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8" customHeight="1" x14ac:dyDescent="0.35">
      <c r="A37" s="4" t="s">
        <v>23</v>
      </c>
      <c r="B37" s="61"/>
      <c r="C37" s="9">
        <v>19206.43</v>
      </c>
      <c r="D37" s="7">
        <f t="shared" si="1"/>
        <v>0.16893118455613371</v>
      </c>
      <c r="E37" s="18"/>
      <c r="F37" s="9">
        <v>9775.16</v>
      </c>
      <c r="G37" s="7">
        <f t="shared" si="0"/>
        <v>8.7552001903094104E-2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s="21" customFormat="1" ht="11.25" customHeight="1" x14ac:dyDescent="0.35">
      <c r="A38" s="16"/>
      <c r="B38" s="62"/>
      <c r="C38" s="17"/>
      <c r="D38" s="18"/>
      <c r="E38" s="18"/>
      <c r="F38" s="17"/>
      <c r="G38" s="18"/>
      <c r="H38" s="20"/>
      <c r="I38" s="20"/>
      <c r="J38" s="20"/>
      <c r="K38" s="20"/>
      <c r="L38" s="20"/>
      <c r="M38" s="20"/>
      <c r="N38" s="20"/>
      <c r="O38" s="1"/>
      <c r="P38" s="1"/>
      <c r="Q38" s="1"/>
      <c r="R38" s="1"/>
      <c r="S38" s="1"/>
      <c r="T38" s="20"/>
      <c r="U38" s="20"/>
      <c r="V38" s="20"/>
      <c r="W38" s="20"/>
      <c r="X38" s="20"/>
    </row>
    <row r="39" spans="1:24" ht="18" customHeight="1" x14ac:dyDescent="0.35">
      <c r="A39" s="182" t="s">
        <v>24</v>
      </c>
      <c r="B39" s="183"/>
      <c r="C39" s="47">
        <f>SUM(C40,C52,C60,C67,C73,C77)</f>
        <v>93940.62000000001</v>
      </c>
      <c r="D39" s="48">
        <f>SUM(D40,D52,D60,D67,D73,D77)</f>
        <v>0.82625975855677636</v>
      </c>
      <c r="E39" s="71"/>
      <c r="F39" s="47">
        <f>SUM(F40,F52,F60,F67,F73,F77)</f>
        <v>132084.81</v>
      </c>
      <c r="G39" s="48">
        <f>SUM(G40,G52,G60,G67,G73,G77)</f>
        <v>1.1830281587707847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8" customHeight="1" x14ac:dyDescent="0.35">
      <c r="A40" s="2" t="s">
        <v>25</v>
      </c>
      <c r="B40" s="56"/>
      <c r="C40" s="6">
        <f>SUM(C41:C51)</f>
        <v>28480.870000000003</v>
      </c>
      <c r="D40" s="8">
        <f>SUM(D41:D51)</f>
        <v>0.25050501869890712</v>
      </c>
      <c r="E40" s="71"/>
      <c r="F40" s="6">
        <f>SUM(F41:F51)</f>
        <v>58266.67</v>
      </c>
      <c r="G40" s="8">
        <f>SUM(G41:G51)</f>
        <v>0.52187008731590656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8" customHeight="1" x14ac:dyDescent="0.35">
      <c r="A41" s="4" t="s">
        <v>10</v>
      </c>
      <c r="B41" s="61"/>
      <c r="C41" s="5">
        <v>0</v>
      </c>
      <c r="D41" s="7">
        <f t="shared" ref="D41:D51" si="2">IFERROR(C41/$C$6,0)</f>
        <v>0</v>
      </c>
      <c r="E41" s="19"/>
      <c r="F41" s="5">
        <v>0</v>
      </c>
      <c r="G41" s="7">
        <f t="shared" ref="G41:G51" si="3">IFERROR(F41/$F$6,0)</f>
        <v>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8" customHeight="1" x14ac:dyDescent="0.35">
      <c r="A42" s="4" t="s">
        <v>15</v>
      </c>
      <c r="B42" s="61"/>
      <c r="C42" s="5">
        <v>2708.81</v>
      </c>
      <c r="D42" s="7">
        <f t="shared" si="2"/>
        <v>2.3825483550951456E-2</v>
      </c>
      <c r="E42" s="19"/>
      <c r="F42" s="5">
        <v>2072.11</v>
      </c>
      <c r="G42" s="7">
        <f t="shared" si="3"/>
        <v>1.8559018846077236E-2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8" customHeight="1" x14ac:dyDescent="0.35">
      <c r="A43" s="4" t="s">
        <v>17</v>
      </c>
      <c r="B43" s="61"/>
      <c r="C43" s="5">
        <v>252.68</v>
      </c>
      <c r="D43" s="7">
        <f t="shared" si="2"/>
        <v>2.2224604839964465E-3</v>
      </c>
      <c r="E43" s="19"/>
      <c r="F43" s="5">
        <v>291.73</v>
      </c>
      <c r="G43" s="7">
        <f t="shared" si="3"/>
        <v>2.6129030640101693E-3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8" customHeight="1" x14ac:dyDescent="0.35">
      <c r="A44" s="4" t="s">
        <v>26</v>
      </c>
      <c r="B44" s="61"/>
      <c r="C44" s="5">
        <v>5842.99</v>
      </c>
      <c r="D44" s="7">
        <f t="shared" si="2"/>
        <v>5.1392331737321495E-2</v>
      </c>
      <c r="E44" s="19"/>
      <c r="F44" s="5">
        <v>11842.99</v>
      </c>
      <c r="G44" s="7">
        <f t="shared" si="3"/>
        <v>0.10607268658705581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8" customHeight="1" x14ac:dyDescent="0.35">
      <c r="A45" s="4" t="s">
        <v>27</v>
      </c>
      <c r="B45" s="61"/>
      <c r="C45" s="5">
        <v>6000</v>
      </c>
      <c r="D45" s="7">
        <f t="shared" si="2"/>
        <v>5.2773321608274013E-2</v>
      </c>
      <c r="E45" s="19"/>
      <c r="F45" s="5">
        <v>22836.959999999999</v>
      </c>
      <c r="G45" s="7">
        <f t="shared" si="3"/>
        <v>0.20454105767894173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8" customHeight="1" x14ac:dyDescent="0.35">
      <c r="A46" s="4" t="s">
        <v>28</v>
      </c>
      <c r="B46" s="61"/>
      <c r="C46" s="5">
        <v>6631.24</v>
      </c>
      <c r="D46" s="7">
        <f t="shared" si="2"/>
        <v>5.832542686360849E-2</v>
      </c>
      <c r="E46" s="19"/>
      <c r="F46" s="5">
        <v>7500.32</v>
      </c>
      <c r="G46" s="7">
        <f t="shared" si="3"/>
        <v>6.717721560709132E-2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8" customHeight="1" x14ac:dyDescent="0.35">
      <c r="A47" s="4" t="s">
        <v>29</v>
      </c>
      <c r="B47" s="61"/>
      <c r="C47" s="5">
        <v>184.46</v>
      </c>
      <c r="D47" s="7">
        <f t="shared" si="2"/>
        <v>1.6224278173103709E-3</v>
      </c>
      <c r="E47" s="19"/>
      <c r="F47" s="5">
        <v>181.96</v>
      </c>
      <c r="G47" s="7">
        <f t="shared" si="3"/>
        <v>1.6297392847060309E-3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8" customHeight="1" x14ac:dyDescent="0.35">
      <c r="A48" s="4" t="s">
        <v>30</v>
      </c>
      <c r="B48" s="61"/>
      <c r="C48" s="5">
        <v>124.99</v>
      </c>
      <c r="D48" s="7">
        <f t="shared" si="2"/>
        <v>1.0993562446363614E-3</v>
      </c>
      <c r="E48" s="19"/>
      <c r="F48" s="5">
        <v>120</v>
      </c>
      <c r="G48" s="7">
        <f t="shared" si="3"/>
        <v>1.0747895920242014E-3</v>
      </c>
      <c r="H48" s="1"/>
      <c r="I48" s="4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8" customHeight="1" x14ac:dyDescent="0.35">
      <c r="A49" s="4" t="s">
        <v>31</v>
      </c>
      <c r="B49" s="61"/>
      <c r="C49" s="5">
        <v>570</v>
      </c>
      <c r="D49" s="7">
        <f t="shared" si="2"/>
        <v>5.0134655527860313E-3</v>
      </c>
      <c r="E49" s="19"/>
      <c r="F49" s="5">
        <v>900</v>
      </c>
      <c r="G49" s="7">
        <f t="shared" si="3"/>
        <v>8.0609219401815112E-3</v>
      </c>
      <c r="H49" s="1"/>
      <c r="I49" s="1"/>
      <c r="J49" s="1"/>
      <c r="K49" s="1"/>
      <c r="L49" s="1"/>
      <c r="M49" s="1"/>
      <c r="N49" s="1"/>
      <c r="O49" s="20"/>
      <c r="P49" s="20"/>
      <c r="Q49" s="20"/>
      <c r="R49" s="20"/>
      <c r="S49" s="20"/>
      <c r="T49" s="1"/>
      <c r="U49" s="1"/>
      <c r="V49" s="1"/>
      <c r="W49" s="1"/>
      <c r="X49" s="1"/>
    </row>
    <row r="50" spans="1:24" ht="18" customHeight="1" x14ac:dyDescent="0.35">
      <c r="A50" s="4" t="s">
        <v>32</v>
      </c>
      <c r="B50" s="61"/>
      <c r="C50" s="5">
        <v>165.7</v>
      </c>
      <c r="D50" s="7">
        <f t="shared" si="2"/>
        <v>1.4574232317485006E-3</v>
      </c>
      <c r="E50" s="19"/>
      <c r="F50" s="5">
        <v>520.6</v>
      </c>
      <c r="G50" s="7">
        <f t="shared" si="3"/>
        <v>4.6627955133983273E-3</v>
      </c>
      <c r="H50" s="1"/>
      <c r="I50" s="2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8" customHeight="1" x14ac:dyDescent="0.35">
      <c r="A51" s="4" t="s">
        <v>33</v>
      </c>
      <c r="B51" s="61"/>
      <c r="C51" s="5">
        <v>6000</v>
      </c>
      <c r="D51" s="7">
        <f t="shared" si="2"/>
        <v>5.2773321608274013E-2</v>
      </c>
      <c r="E51" s="19"/>
      <c r="F51" s="5">
        <v>12000</v>
      </c>
      <c r="G51" s="7">
        <f t="shared" si="3"/>
        <v>0.10747895920242015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8" customHeight="1" x14ac:dyDescent="0.35">
      <c r="A52" s="2" t="s">
        <v>34</v>
      </c>
      <c r="B52" s="56"/>
      <c r="C52" s="6">
        <f>SUM(C53:C59)</f>
        <v>12445.560000000001</v>
      </c>
      <c r="D52" s="8">
        <f>SUM(D53:D59)</f>
        <v>0.10946559007917846</v>
      </c>
      <c r="E52" s="71"/>
      <c r="F52" s="6">
        <f>SUM(F53:F59)</f>
        <v>13453.380000000001</v>
      </c>
      <c r="G52" s="8">
        <f>SUM(G53:G59)</f>
        <v>0.12049627334622126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8" customHeight="1" x14ac:dyDescent="0.35">
      <c r="A53" s="4" t="s">
        <v>35</v>
      </c>
      <c r="B53" s="61"/>
      <c r="C53" s="9">
        <v>1619.82</v>
      </c>
      <c r="D53" s="7">
        <f t="shared" ref="D53:D59" si="4">IFERROR(C53/$C$6,0)</f>
        <v>1.4247213634585735E-2</v>
      </c>
      <c r="E53" s="18"/>
      <c r="F53" s="9">
        <v>1697.61</v>
      </c>
      <c r="G53" s="7">
        <f t="shared" ref="G53:G59" si="5">IFERROR(F53/$F$6,0)</f>
        <v>1.520477966096837E-2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8" customHeight="1" x14ac:dyDescent="0.35">
      <c r="A54" s="4" t="s">
        <v>36</v>
      </c>
      <c r="B54" s="61"/>
      <c r="C54" s="9">
        <v>2680.9</v>
      </c>
      <c r="D54" s="7">
        <f t="shared" si="4"/>
        <v>2.357999964993697E-2</v>
      </c>
      <c r="E54" s="18"/>
      <c r="F54" s="9">
        <v>3590.78</v>
      </c>
      <c r="G54" s="7">
        <f t="shared" si="5"/>
        <v>3.2161108093738851E-2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8" customHeight="1" x14ac:dyDescent="0.35">
      <c r="A55" s="4" t="s">
        <v>37</v>
      </c>
      <c r="B55" s="61"/>
      <c r="C55" s="9">
        <v>3028.59</v>
      </c>
      <c r="D55" s="7">
        <f t="shared" si="4"/>
        <v>2.6638125681600434E-2</v>
      </c>
      <c r="E55" s="18"/>
      <c r="F55" s="9">
        <v>3050.43</v>
      </c>
      <c r="G55" s="7">
        <f t="shared" si="5"/>
        <v>2.7321420126653204E-2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8" customHeight="1" x14ac:dyDescent="0.35">
      <c r="A56" s="4" t="s">
        <v>38</v>
      </c>
      <c r="B56" s="61"/>
      <c r="C56" s="9">
        <v>599.28</v>
      </c>
      <c r="D56" s="7">
        <f t="shared" si="4"/>
        <v>5.2709993622344084E-3</v>
      </c>
      <c r="E56" s="18"/>
      <c r="F56" s="9">
        <v>597.59</v>
      </c>
      <c r="G56" s="7">
        <f t="shared" si="5"/>
        <v>5.3523626024811885E-3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8" customHeight="1" x14ac:dyDescent="0.35">
      <c r="A57" s="4" t="s">
        <v>39</v>
      </c>
      <c r="B57" s="61"/>
      <c r="C57" s="9">
        <v>3580.35</v>
      </c>
      <c r="D57" s="7">
        <f t="shared" si="4"/>
        <v>3.1491160336697313E-2</v>
      </c>
      <c r="E57" s="18"/>
      <c r="F57" s="9">
        <v>3580.35</v>
      </c>
      <c r="G57" s="7">
        <f t="shared" si="5"/>
        <v>3.2067690965032078E-2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8" customHeight="1" x14ac:dyDescent="0.35">
      <c r="A58" s="4" t="s">
        <v>40</v>
      </c>
      <c r="B58" s="61"/>
      <c r="C58" s="9">
        <v>936.62</v>
      </c>
      <c r="D58" s="7">
        <f t="shared" si="4"/>
        <v>8.2380914141236012E-3</v>
      </c>
      <c r="E58" s="18"/>
      <c r="F58" s="9">
        <v>936.62</v>
      </c>
      <c r="G58" s="7">
        <f t="shared" si="5"/>
        <v>8.3889118973475632E-3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8" customHeight="1" x14ac:dyDescent="0.35">
      <c r="A59" s="4" t="s">
        <v>41</v>
      </c>
      <c r="B59" s="61"/>
      <c r="C59" s="9">
        <v>0</v>
      </c>
      <c r="D59" s="7">
        <f t="shared" si="4"/>
        <v>0</v>
      </c>
      <c r="E59" s="18"/>
      <c r="F59" s="9">
        <v>0</v>
      </c>
      <c r="G59" s="7">
        <f t="shared" si="5"/>
        <v>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8" customHeight="1" x14ac:dyDescent="0.35">
      <c r="A60" s="2" t="s">
        <v>42</v>
      </c>
      <c r="B60" s="56"/>
      <c r="C60" s="6">
        <f>SUM(C61:C66)</f>
        <v>2266.27</v>
      </c>
      <c r="D60" s="8">
        <f>SUM(D61:D66)</f>
        <v>1.9933099260197193E-2</v>
      </c>
      <c r="E60" s="71"/>
      <c r="F60" s="6">
        <f>SUM(F61:F66)</f>
        <v>4949.1099999999997</v>
      </c>
      <c r="G60" s="8">
        <f>SUM(G61:G66)</f>
        <v>4.4327099314857461E-2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8" customHeight="1" x14ac:dyDescent="0.35">
      <c r="A61" s="4" t="s">
        <v>43</v>
      </c>
      <c r="B61" s="61"/>
      <c r="C61" s="5">
        <v>1016.27</v>
      </c>
      <c r="D61" s="7">
        <f t="shared" ref="D61:D66" si="6">IFERROR(C61/$C$6,0)</f>
        <v>8.938657258473438E-3</v>
      </c>
      <c r="E61" s="19"/>
      <c r="F61" s="5">
        <v>2504.4499999999998</v>
      </c>
      <c r="G61" s="7">
        <f t="shared" ref="G61:G66" si="7">IFERROR(F61/$F$6,0)</f>
        <v>2.2431306614541759E-2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8" customHeight="1" x14ac:dyDescent="0.35">
      <c r="A62" s="4" t="s">
        <v>44</v>
      </c>
      <c r="B62" s="61"/>
      <c r="C62" s="5">
        <v>1100</v>
      </c>
      <c r="D62" s="7">
        <f t="shared" si="6"/>
        <v>9.6751089615169025E-3</v>
      </c>
      <c r="E62" s="19"/>
      <c r="F62" s="5">
        <v>1000</v>
      </c>
      <c r="G62" s="7">
        <f t="shared" si="7"/>
        <v>8.9565799335350124E-3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8" customHeight="1" x14ac:dyDescent="0.35">
      <c r="A63" s="4" t="s">
        <v>45</v>
      </c>
      <c r="B63" s="61"/>
      <c r="C63" s="5">
        <v>150</v>
      </c>
      <c r="D63" s="7">
        <f t="shared" si="6"/>
        <v>1.3193330402068504E-3</v>
      </c>
      <c r="E63" s="19"/>
      <c r="F63" s="5">
        <v>20</v>
      </c>
      <c r="G63" s="7">
        <f t="shared" si="7"/>
        <v>1.7913159867070024E-4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8" customHeight="1" x14ac:dyDescent="0.35">
      <c r="A64" s="4" t="s">
        <v>46</v>
      </c>
      <c r="B64" s="61"/>
      <c r="C64" s="5">
        <v>0</v>
      </c>
      <c r="D64" s="7">
        <f t="shared" si="6"/>
        <v>0</v>
      </c>
      <c r="E64" s="19"/>
      <c r="F64" s="5">
        <v>0</v>
      </c>
      <c r="G64" s="7">
        <f t="shared" si="7"/>
        <v>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8" customHeight="1" x14ac:dyDescent="0.35">
      <c r="A65" s="4" t="s">
        <v>47</v>
      </c>
      <c r="B65" s="61"/>
      <c r="C65" s="5">
        <v>0</v>
      </c>
      <c r="D65" s="7">
        <f t="shared" si="6"/>
        <v>0</v>
      </c>
      <c r="E65" s="19"/>
      <c r="F65" s="5">
        <v>0</v>
      </c>
      <c r="G65" s="7">
        <f t="shared" si="7"/>
        <v>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8" customHeight="1" x14ac:dyDescent="0.35">
      <c r="A66" s="4" t="s">
        <v>48</v>
      </c>
      <c r="B66" s="61"/>
      <c r="C66" s="5">
        <v>0</v>
      </c>
      <c r="D66" s="7">
        <f t="shared" si="6"/>
        <v>0</v>
      </c>
      <c r="E66" s="19"/>
      <c r="F66" s="5">
        <v>1424.66</v>
      </c>
      <c r="G66" s="7">
        <f t="shared" si="7"/>
        <v>1.2760081168109991E-2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8" customHeight="1" x14ac:dyDescent="0.35">
      <c r="A67" s="2" t="s">
        <v>49</v>
      </c>
      <c r="B67" s="56"/>
      <c r="C67" s="6">
        <f>SUM(C68:C72)</f>
        <v>32495.72</v>
      </c>
      <c r="D67" s="8">
        <f>SUM(D68:D72)</f>
        <v>0.2858178470754037</v>
      </c>
      <c r="E67" s="71"/>
      <c r="F67" s="6">
        <f>SUM(F68:F72)</f>
        <v>32888.550000000003</v>
      </c>
      <c r="G67" s="8">
        <f>SUM(G68:G72)</f>
        <v>0.29456892697306292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8" customHeight="1" x14ac:dyDescent="0.35">
      <c r="A68" s="4" t="s">
        <v>50</v>
      </c>
      <c r="B68" s="61"/>
      <c r="C68" s="5">
        <v>8500</v>
      </c>
      <c r="D68" s="7">
        <f>IFERROR(C68/$C$6,0)</f>
        <v>7.4762205611721519E-2</v>
      </c>
      <c r="E68" s="19"/>
      <c r="F68" s="5">
        <v>8500</v>
      </c>
      <c r="G68" s="7">
        <f>IFERROR(F68/$F$6,0)</f>
        <v>7.6130929435047609E-2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8" customHeight="1" x14ac:dyDescent="0.35">
      <c r="A69" s="4" t="s">
        <v>51</v>
      </c>
      <c r="B69" s="61"/>
      <c r="C69" s="5">
        <v>3420</v>
      </c>
      <c r="D69" s="7">
        <f>IFERROR(C69/$C$6,0)</f>
        <v>3.0080793316716186E-2</v>
      </c>
      <c r="E69" s="19"/>
      <c r="F69" s="5">
        <v>3450</v>
      </c>
      <c r="G69" s="7">
        <f>IFERROR(F69/$F$6,0)</f>
        <v>3.0900200770695791E-2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8" customHeight="1" x14ac:dyDescent="0.35">
      <c r="A70" s="4" t="s">
        <v>52</v>
      </c>
      <c r="B70" s="61"/>
      <c r="C70" s="5">
        <v>2612.5</v>
      </c>
      <c r="D70" s="7">
        <f>IFERROR(C70/$C$6,0)</f>
        <v>2.2978383783602643E-2</v>
      </c>
      <c r="E70" s="19"/>
      <c r="F70" s="5">
        <v>2612.5</v>
      </c>
      <c r="G70" s="7">
        <f>IFERROR(F70/$F$6,0)</f>
        <v>2.339906507636022E-2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8" customHeight="1" x14ac:dyDescent="0.35">
      <c r="A71" s="4" t="s">
        <v>53</v>
      </c>
      <c r="B71" s="61"/>
      <c r="C71" s="5">
        <v>16551.22</v>
      </c>
      <c r="D71" s="7">
        <f>IFERROR(C71/$C$6,0)</f>
        <v>0.14557714267821617</v>
      </c>
      <c r="E71" s="19"/>
      <c r="F71" s="5">
        <v>16914.05</v>
      </c>
      <c r="G71" s="7">
        <f>IFERROR(F71/$F$6,0)</f>
        <v>0.15149204082480786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8" customHeight="1" x14ac:dyDescent="0.35">
      <c r="A72" s="4" t="s">
        <v>70</v>
      </c>
      <c r="B72" s="61"/>
      <c r="C72" s="9">
        <v>1412</v>
      </c>
      <c r="D72" s="52">
        <f>IFERROR(C72/$C$6,0)</f>
        <v>1.2419321685147151E-2</v>
      </c>
      <c r="E72" s="18"/>
      <c r="F72" s="9">
        <v>1412</v>
      </c>
      <c r="G72" s="52">
        <f>IFERROR(F72/$F$6,0)</f>
        <v>1.2646690866151437E-2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8" customHeight="1" x14ac:dyDescent="0.35">
      <c r="A73" s="2" t="s">
        <v>54</v>
      </c>
      <c r="B73" s="56"/>
      <c r="C73" s="6">
        <f>SUM(C74:C76)</f>
        <v>17531.73</v>
      </c>
      <c r="D73" s="8">
        <f>SUM(D74:D76)</f>
        <v>0.15420127093990429</v>
      </c>
      <c r="E73" s="71"/>
      <c r="F73" s="6">
        <f>SUM(F74:F76)</f>
        <v>20677.13</v>
      </c>
      <c r="G73" s="8">
        <f>SUM(G74:G76)</f>
        <v>0.18519636764109482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8" customHeight="1" x14ac:dyDescent="0.35">
      <c r="A74" s="4" t="s">
        <v>55</v>
      </c>
      <c r="B74" s="61"/>
      <c r="C74" s="5">
        <v>2363.1799999999998</v>
      </c>
      <c r="D74" s="7">
        <f>IFERROR(C74/$C$6,0)</f>
        <v>2.0785476359706827E-2</v>
      </c>
      <c r="E74" s="19"/>
      <c r="F74" s="5">
        <v>2572.35</v>
      </c>
      <c r="G74" s="7">
        <f>IFERROR(F74/$F$6,0)</f>
        <v>2.3039458392028787E-2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8" customHeight="1" x14ac:dyDescent="0.35">
      <c r="A75" s="4" t="s">
        <v>56</v>
      </c>
      <c r="B75" s="61"/>
      <c r="C75" s="5">
        <v>11668.55</v>
      </c>
      <c r="D75" s="7">
        <f>IFERROR(C75/$C$6,0)</f>
        <v>0.10263135697537094</v>
      </c>
      <c r="E75" s="19"/>
      <c r="F75" s="5">
        <v>14604.78</v>
      </c>
      <c r="G75" s="7">
        <f>IFERROR(F75/$F$6,0)</f>
        <v>0.13080887948169348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8" customHeight="1" x14ac:dyDescent="0.35">
      <c r="A76" s="4" t="s">
        <v>57</v>
      </c>
      <c r="B76" s="61"/>
      <c r="C76" s="5">
        <v>3500</v>
      </c>
      <c r="D76" s="7">
        <f>IFERROR(C76/$C$6,0)</f>
        <v>3.078443760482651E-2</v>
      </c>
      <c r="E76" s="19"/>
      <c r="F76" s="5">
        <v>3500</v>
      </c>
      <c r="G76" s="7">
        <f>IFERROR(F76/$F$6,0)</f>
        <v>3.134802976737254E-2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8" customHeight="1" x14ac:dyDescent="0.35">
      <c r="A77" s="2" t="s">
        <v>58</v>
      </c>
      <c r="B77" s="56"/>
      <c r="C77" s="6">
        <f>SUM(C78:C85)</f>
        <v>720.47</v>
      </c>
      <c r="D77" s="8">
        <f>SUM(D78:D85)</f>
        <v>6.3369325031855297E-3</v>
      </c>
      <c r="E77" s="71"/>
      <c r="F77" s="6">
        <f>SUM(F78:F85)</f>
        <v>1849.9699999999998</v>
      </c>
      <c r="G77" s="8">
        <f>SUM(G78:G85)</f>
        <v>1.6569404179641766E-2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8" customHeight="1" x14ac:dyDescent="0.35">
      <c r="A78" s="4" t="s">
        <v>59</v>
      </c>
      <c r="B78" s="61"/>
      <c r="C78" s="5">
        <v>14.98</v>
      </c>
      <c r="D78" s="7">
        <f t="shared" ref="D78:D85" si="8">IFERROR(C78/$C$6,0)</f>
        <v>1.3175739294865745E-4</v>
      </c>
      <c r="E78" s="19"/>
      <c r="F78" s="5">
        <v>48.98</v>
      </c>
      <c r="G78" s="7">
        <f t="shared" ref="G78:G85" si="9">IFERROR(F78/$F$6,0)</f>
        <v>4.3869328514454484E-4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8" customHeight="1" x14ac:dyDescent="0.35">
      <c r="A79" s="4" t="s">
        <v>60</v>
      </c>
      <c r="B79" s="61"/>
      <c r="C79" s="5">
        <v>187</v>
      </c>
      <c r="D79" s="7">
        <f t="shared" si="8"/>
        <v>1.6447685234578734E-3</v>
      </c>
      <c r="E79" s="19"/>
      <c r="F79" s="5">
        <v>96</v>
      </c>
      <c r="G79" s="7">
        <f t="shared" si="9"/>
        <v>8.5983167361936117E-4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8" customHeight="1" x14ac:dyDescent="0.35">
      <c r="A80" s="4" t="s">
        <v>61</v>
      </c>
      <c r="B80" s="61"/>
      <c r="C80" s="5">
        <v>42.42</v>
      </c>
      <c r="D80" s="7">
        <f t="shared" si="8"/>
        <v>3.7310738377049728E-4</v>
      </c>
      <c r="E80" s="19"/>
      <c r="F80" s="5">
        <v>92.79</v>
      </c>
      <c r="G80" s="7">
        <f t="shared" si="9"/>
        <v>8.3108105203271387E-4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8" customHeight="1" x14ac:dyDescent="0.35">
      <c r="A81" s="4" t="s">
        <v>62</v>
      </c>
      <c r="B81" s="61"/>
      <c r="C81" s="5">
        <v>183.48</v>
      </c>
      <c r="D81" s="7">
        <f t="shared" si="8"/>
        <v>1.6138081747810193E-3</v>
      </c>
      <c r="E81" s="19"/>
      <c r="F81" s="5">
        <v>338.9</v>
      </c>
      <c r="G81" s="7">
        <f t="shared" si="9"/>
        <v>3.0353849394750155E-3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8" customHeight="1" x14ac:dyDescent="0.35">
      <c r="A82" s="4" t="s">
        <v>63</v>
      </c>
      <c r="B82" s="61"/>
      <c r="C82" s="5">
        <v>10.6</v>
      </c>
      <c r="D82" s="7">
        <f t="shared" si="8"/>
        <v>9.323286817461742E-5</v>
      </c>
      <c r="E82" s="19"/>
      <c r="F82" s="5">
        <v>1032.3599999999999</v>
      </c>
      <c r="G82" s="7">
        <f t="shared" si="9"/>
        <v>9.2464148601842048E-3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8" customHeight="1" x14ac:dyDescent="0.35">
      <c r="A83" s="4" t="s">
        <v>64</v>
      </c>
      <c r="B83" s="61"/>
      <c r="C83" s="5">
        <v>17.989999999999998</v>
      </c>
      <c r="D83" s="7">
        <f t="shared" si="8"/>
        <v>1.5823200928880823E-4</v>
      </c>
      <c r="E83" s="19"/>
      <c r="F83" s="5">
        <v>17.760000000000002</v>
      </c>
      <c r="G83" s="7">
        <f t="shared" si="9"/>
        <v>1.5906885961958182E-4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8" customHeight="1" x14ac:dyDescent="0.35">
      <c r="A84" s="4" t="s">
        <v>65</v>
      </c>
      <c r="B84" s="61"/>
      <c r="C84" s="5">
        <v>21</v>
      </c>
      <c r="D84" s="7">
        <f t="shared" si="8"/>
        <v>1.8470662562895904E-4</v>
      </c>
      <c r="E84" s="19"/>
      <c r="F84" s="5">
        <v>0</v>
      </c>
      <c r="G84" s="7">
        <f t="shared" si="9"/>
        <v>0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8" customHeight="1" x14ac:dyDescent="0.35">
      <c r="A85" s="4" t="s">
        <v>66</v>
      </c>
      <c r="B85" s="61"/>
      <c r="C85" s="5">
        <v>243</v>
      </c>
      <c r="D85" s="7">
        <f t="shared" si="8"/>
        <v>2.1373195251350977E-3</v>
      </c>
      <c r="E85" s="19"/>
      <c r="F85" s="5">
        <v>223.18</v>
      </c>
      <c r="G85" s="7">
        <f t="shared" si="9"/>
        <v>1.998929509566344E-3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s="22" customFormat="1" ht="15.75" customHeight="1" x14ac:dyDescent="0.35">
      <c r="A86" s="180" t="s">
        <v>67</v>
      </c>
      <c r="B86" s="181"/>
      <c r="C86" s="49">
        <f>SUM(C6)-C39</f>
        <v>19753.189999999988</v>
      </c>
      <c r="D86" s="49"/>
      <c r="E86" s="72"/>
      <c r="F86" s="49">
        <f>SUM(F6)-F39</f>
        <v>-20435.050000000003</v>
      </c>
      <c r="G86" s="50"/>
      <c r="O86" s="1"/>
      <c r="P86" s="1"/>
      <c r="Q86" s="1"/>
      <c r="R86" s="1"/>
      <c r="S86" s="1"/>
    </row>
    <row r="87" spans="1:24" ht="7.5" customHeight="1" x14ac:dyDescent="0.35">
      <c r="A87" s="148"/>
      <c r="B87" s="148"/>
      <c r="C87" s="149"/>
      <c r="D87" s="149"/>
      <c r="E87" s="149"/>
      <c r="F87" s="149"/>
      <c r="G87" s="14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8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8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8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8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8" customHeight="1" x14ac:dyDescent="0.35">
      <c r="A92" s="1"/>
      <c r="B92" s="1"/>
      <c r="C92" s="146"/>
      <c r="D92" s="146"/>
      <c r="E92" s="146"/>
      <c r="F92" s="146"/>
      <c r="G92" s="14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8" customHeight="1" x14ac:dyDescent="0.35">
      <c r="A93" s="1"/>
      <c r="B93" s="1"/>
      <c r="C93" s="146"/>
      <c r="D93" s="146"/>
      <c r="E93" s="146"/>
      <c r="F93" s="146"/>
      <c r="G93" s="14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8" customHeight="1" x14ac:dyDescent="0.35">
      <c r="A94" s="1"/>
      <c r="B94" s="1"/>
      <c r="C94" s="146"/>
      <c r="D94" s="146"/>
      <c r="E94" s="146"/>
      <c r="F94" s="146"/>
      <c r="G94" s="14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8" customHeight="1" x14ac:dyDescent="0.35">
      <c r="A95" s="1"/>
      <c r="B95" s="1"/>
      <c r="C95" s="146"/>
      <c r="D95" s="146"/>
      <c r="E95" s="146"/>
      <c r="F95" s="146"/>
      <c r="G95" s="14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8" customHeight="1" x14ac:dyDescent="0.35">
      <c r="A96" s="1"/>
      <c r="B96" s="1"/>
      <c r="C96" s="146"/>
      <c r="D96" s="146"/>
      <c r="E96" s="146"/>
      <c r="F96" s="146"/>
      <c r="G96" s="14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8" customHeight="1" x14ac:dyDescent="0.35">
      <c r="A97" s="1"/>
      <c r="B97" s="1"/>
      <c r="C97" s="3"/>
      <c r="D97" s="3"/>
      <c r="E97" s="3"/>
      <c r="F97" s="3"/>
      <c r="G97" s="3"/>
      <c r="H97" s="1"/>
      <c r="I97" s="1"/>
      <c r="J97" s="1"/>
      <c r="K97" s="1"/>
      <c r="L97" s="1"/>
      <c r="M97" s="1"/>
      <c r="N97" s="1"/>
      <c r="O97" s="22"/>
      <c r="P97" s="22"/>
      <c r="Q97" s="22"/>
      <c r="R97" s="22"/>
      <c r="S97" s="22"/>
      <c r="T97" s="1"/>
      <c r="U97" s="1"/>
      <c r="V97" s="1"/>
      <c r="W97" s="1"/>
      <c r="X97" s="1"/>
    </row>
    <row r="98" spans="1:24" ht="18" customHeight="1" x14ac:dyDescent="0.35">
      <c r="A98" s="1"/>
      <c r="B98" s="1"/>
      <c r="C98" s="3"/>
      <c r="D98" s="3"/>
      <c r="E98" s="3"/>
      <c r="F98" s="3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8" customHeight="1" x14ac:dyDescent="0.35">
      <c r="A99" s="1"/>
      <c r="B99" s="1"/>
      <c r="C99" s="3"/>
      <c r="D99" s="3"/>
      <c r="E99" s="3"/>
      <c r="F99" s="3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8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8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8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8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8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8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8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8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8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8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8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8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8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8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8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8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8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8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8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8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8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8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8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8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8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8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8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8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8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8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8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8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8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8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8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8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8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8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8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8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8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8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8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8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8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8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8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8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8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8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8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8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8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8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8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8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8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8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8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8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8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8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8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8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8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8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8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8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8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8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8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8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8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8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8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8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8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8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8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8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8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8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8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8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8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8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8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8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8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8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8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8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8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8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8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8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8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8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8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8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8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8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8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8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8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8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8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8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8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8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8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8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8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8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8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8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8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8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8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8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8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8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8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8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8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8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8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8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8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8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8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8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8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8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8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8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8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8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8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8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8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8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8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8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8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8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8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8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8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8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8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8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8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8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8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8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8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8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8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8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8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8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8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8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8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8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8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8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8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8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8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8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8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8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8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8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8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8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8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8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8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8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8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8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8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8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8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8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8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8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8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8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8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8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8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8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8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8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8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8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8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8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8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8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8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8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8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8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8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8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8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8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8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8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8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8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8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8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8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8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8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8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8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8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8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8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8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8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8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8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8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8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8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8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8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8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8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8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8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8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8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8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8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8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8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8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8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8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8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8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8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8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8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8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8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8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8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8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8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8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8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8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8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8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8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8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8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8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8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8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8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8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8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8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8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8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8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8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8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8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8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8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8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8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8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8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8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8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8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8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8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8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8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8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8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8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8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8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8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8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8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8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8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8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8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8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8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8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8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8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8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8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8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8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8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8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8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8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8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8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8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8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8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8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8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8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8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8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8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8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8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8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8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8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8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8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8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8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8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8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8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8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8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8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8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8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8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8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8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8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8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8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8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8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8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8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8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8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8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8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8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8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8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8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8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8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8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8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8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8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8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8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8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8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8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8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8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8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8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8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8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8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8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8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8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8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8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8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8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8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8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8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8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8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8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8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8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8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8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8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8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8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8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8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8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8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8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8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8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8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8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8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8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8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8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8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8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8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8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8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8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8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8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8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8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8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8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8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8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8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8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8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8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8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8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8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8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8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8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8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8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8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8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8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8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8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8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8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8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8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8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8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8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8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8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8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8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8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8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8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8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8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8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8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8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8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8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8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8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8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8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8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8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8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8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8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8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8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8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8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8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8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8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8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8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8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8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8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8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8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8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8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8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8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8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8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8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8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8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8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8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8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8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8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8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8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8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8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8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8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8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8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8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8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8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8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8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8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8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8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8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8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8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8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8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8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8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8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8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8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8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8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8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8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8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8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8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8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8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8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8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8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8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8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8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8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8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8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8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8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8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8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8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8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8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8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8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8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8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8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8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8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8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8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8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8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8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8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8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8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8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8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8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8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8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8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8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8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8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8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8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8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8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8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8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8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8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8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8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8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8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8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8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8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8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8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8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8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8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8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8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8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8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8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8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8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8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8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8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8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8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8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8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8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8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8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8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8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8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8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8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8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8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8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8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8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8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8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8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8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8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8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8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8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8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8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8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8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8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8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8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8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8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8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8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8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8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8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8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8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8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8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8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8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8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8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8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8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8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8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8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8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8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8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8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8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8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8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8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8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8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8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8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8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8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8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8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8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8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8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8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8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8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8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8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8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8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8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8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8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8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8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8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8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8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8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8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8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8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8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8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8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8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8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8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8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8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8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8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8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8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8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8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8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8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8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8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8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8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8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8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8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8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8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8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8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8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8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8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8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8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8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8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8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8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8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8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8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8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8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8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8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8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8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8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8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8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8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8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8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8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8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8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8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8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8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8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8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8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8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8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8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8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8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8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8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8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8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8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8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8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8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8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8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8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8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8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8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8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8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8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8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8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8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8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8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8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8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8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8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8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8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8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8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8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8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8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8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8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8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8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8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8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8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8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8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8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8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8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8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8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8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8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8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8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8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8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8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8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8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8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8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8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8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8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8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8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8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8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8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8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8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8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8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8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8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8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8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8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8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8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8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8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8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8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8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8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8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8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8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8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8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8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8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8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8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8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8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8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8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8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8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8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8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8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8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8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8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8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8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8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8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8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8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8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8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8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8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8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8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8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8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8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8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8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8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8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8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8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8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8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8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8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8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8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8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8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8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8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8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8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8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8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8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8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8" customHeigh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8" customHeigh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8" customHeight="1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18" customHeight="1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18" customHeight="1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18" customHeight="1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:24" ht="18" customHeight="1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1:24" ht="18" customHeight="1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1:24" ht="18" customHeight="1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1:24" ht="18" customHeight="1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1:24" ht="18" customHeight="1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1:24" ht="18" customHeight="1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1:24" ht="18" customHeight="1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1:24" ht="18" customHeight="1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1:24" ht="18" customHeight="1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1:24" ht="18" customHeight="1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1:24" ht="18" customHeight="1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1:24" ht="18" customHeight="1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1:24" ht="18" customHeight="1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1:24" ht="18" customHeight="1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1:24" ht="18" customHeight="1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1:24" ht="18" customHeight="1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1:24" ht="18" customHeight="1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1:24" ht="18" customHeight="1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1:24" ht="18" customHeight="1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1:24" ht="18" customHeight="1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spans="1:24" ht="18" customHeight="1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1:24" ht="18" customHeight="1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1:24" ht="18" customHeight="1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1:24" ht="18" customHeight="1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 spans="1:24" ht="18" customHeight="1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 spans="1:24" ht="18" customHeight="1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 spans="1:24" ht="18" customHeight="1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 spans="1:24" ht="18" customHeight="1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 spans="1:24" ht="18" customHeight="1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 spans="1:24" ht="18" customHeight="1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 spans="1:24" ht="18" customHeight="1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 spans="1:24" ht="18" customHeight="1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 spans="1:24" ht="18" customHeight="1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 spans="1:24" ht="18" customHeight="1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 spans="1:24" ht="18" customHeight="1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 spans="1:24" ht="18" customHeight="1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 spans="1:24" ht="18" customHeight="1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 spans="1:24" ht="18" customHeight="1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spans="1:24" ht="18" customHeight="1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spans="1:24" ht="18" customHeight="1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 spans="1:24" ht="18" customHeight="1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 spans="1:24" ht="18" customHeight="1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 spans="1:24" ht="18" customHeight="1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spans="1:24" ht="18" customHeight="1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spans="1:24" ht="18" customHeight="1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spans="1:24" ht="18" customHeight="1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spans="1:24" ht="18" customHeight="1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spans="1:24" ht="18" customHeight="1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spans="1:24" ht="18" customHeight="1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spans="1:24" ht="18" customHeight="1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 spans="1:24" ht="18" customHeight="1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spans="1:24" ht="18" customHeight="1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spans="1:24" ht="18" customHeight="1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spans="1:24" ht="18" customHeight="1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spans="1:24" ht="15.75" customHeight="1" x14ac:dyDescent="0.35">
      <c r="O1065" s="1"/>
      <c r="P1065" s="1"/>
      <c r="Q1065" s="1"/>
      <c r="R1065" s="1"/>
      <c r="S1065" s="1"/>
    </row>
    <row r="1066" spans="1:24" ht="15.75" customHeight="1" x14ac:dyDescent="0.35">
      <c r="O1066" s="1"/>
      <c r="P1066" s="1"/>
      <c r="Q1066" s="1"/>
      <c r="R1066" s="1"/>
      <c r="S1066" s="1"/>
    </row>
    <row r="1067" spans="1:24" ht="15.75" customHeight="1" x14ac:dyDescent="0.35">
      <c r="O1067" s="1"/>
      <c r="P1067" s="1"/>
      <c r="Q1067" s="1"/>
      <c r="R1067" s="1"/>
      <c r="S1067" s="1"/>
    </row>
    <row r="1068" spans="1:24" ht="15.75" customHeight="1" x14ac:dyDescent="0.35">
      <c r="O1068" s="1"/>
      <c r="P1068" s="1"/>
      <c r="Q1068" s="1"/>
      <c r="R1068" s="1"/>
      <c r="S1068" s="1"/>
    </row>
    <row r="1069" spans="1:24" ht="15.75" customHeight="1" x14ac:dyDescent="0.35">
      <c r="O1069" s="1"/>
      <c r="P1069" s="1"/>
      <c r="Q1069" s="1"/>
      <c r="R1069" s="1"/>
      <c r="S1069" s="1"/>
    </row>
    <row r="1070" spans="1:24" ht="15.75" customHeight="1" x14ac:dyDescent="0.35">
      <c r="O1070" s="1"/>
      <c r="P1070" s="1"/>
      <c r="Q1070" s="1"/>
      <c r="R1070" s="1"/>
      <c r="S1070" s="1"/>
    </row>
    <row r="1071" spans="1:24" ht="15.75" customHeight="1" x14ac:dyDescent="0.35">
      <c r="O1071" s="1"/>
      <c r="P1071" s="1"/>
      <c r="Q1071" s="1"/>
      <c r="R1071" s="1"/>
      <c r="S1071" s="1"/>
    </row>
    <row r="1072" spans="1:24" ht="15.75" customHeight="1" x14ac:dyDescent="0.35">
      <c r="O1072" s="1"/>
      <c r="P1072" s="1"/>
      <c r="Q1072" s="1"/>
      <c r="R1072" s="1"/>
      <c r="S1072" s="1"/>
    </row>
    <row r="1073" spans="15:19" ht="15.75" customHeight="1" x14ac:dyDescent="0.35">
      <c r="O1073" s="1"/>
      <c r="P1073" s="1"/>
      <c r="Q1073" s="1"/>
      <c r="R1073" s="1"/>
      <c r="S1073" s="1"/>
    </row>
    <row r="1074" spans="15:19" ht="15.75" customHeight="1" x14ac:dyDescent="0.35">
      <c r="O1074" s="1"/>
      <c r="P1074" s="1"/>
      <c r="Q1074" s="1"/>
      <c r="R1074" s="1"/>
      <c r="S1074" s="1"/>
    </row>
    <row r="1075" spans="15:19" ht="15.75" customHeight="1" x14ac:dyDescent="0.35">
      <c r="O1075" s="1"/>
      <c r="P1075" s="1"/>
      <c r="Q1075" s="1"/>
      <c r="R1075" s="1"/>
      <c r="S1075" s="1"/>
    </row>
  </sheetData>
  <sortState xmlns:xlrd2="http://schemas.microsoft.com/office/spreadsheetml/2017/richdata2" ref="A78:G85">
    <sortCondition ref="A78:A85"/>
  </sortState>
  <mergeCells count="57">
    <mergeCell ref="A86:B86"/>
    <mergeCell ref="A39:B39"/>
    <mergeCell ref="A16:B16"/>
    <mergeCell ref="A18:B18"/>
    <mergeCell ref="A17:B17"/>
    <mergeCell ref="A22:B22"/>
    <mergeCell ref="F12:G12"/>
    <mergeCell ref="A13:B13"/>
    <mergeCell ref="A14:B14"/>
    <mergeCell ref="A10:B10"/>
    <mergeCell ref="A11:B11"/>
    <mergeCell ref="C10:D10"/>
    <mergeCell ref="A12:B12"/>
    <mergeCell ref="C12:D12"/>
    <mergeCell ref="A5:B5"/>
    <mergeCell ref="A6:B6"/>
    <mergeCell ref="A7:B7"/>
    <mergeCell ref="A15:B15"/>
    <mergeCell ref="A9:B9"/>
    <mergeCell ref="S21:S22"/>
    <mergeCell ref="F5:G5"/>
    <mergeCell ref="F7:G7"/>
    <mergeCell ref="C6:D6"/>
    <mergeCell ref="C94:G95"/>
    <mergeCell ref="C11:D11"/>
    <mergeCell ref="Q19:R19"/>
    <mergeCell ref="Q20:R20"/>
    <mergeCell ref="O21:O22"/>
    <mergeCell ref="P21:P22"/>
    <mergeCell ref="Q21:Q22"/>
    <mergeCell ref="R21:R22"/>
    <mergeCell ref="C9:D9"/>
    <mergeCell ref="F9:G9"/>
    <mergeCell ref="F10:G10"/>
    <mergeCell ref="F11:G11"/>
    <mergeCell ref="C96:G96"/>
    <mergeCell ref="C2:D2"/>
    <mergeCell ref="F2:G2"/>
    <mergeCell ref="A19:G19"/>
    <mergeCell ref="A87:G87"/>
    <mergeCell ref="C92:G93"/>
    <mergeCell ref="C3:D3"/>
    <mergeCell ref="C4:D4"/>
    <mergeCell ref="C5:D5"/>
    <mergeCell ref="C7:D7"/>
    <mergeCell ref="F6:G6"/>
    <mergeCell ref="F3:G3"/>
    <mergeCell ref="F4:G4"/>
    <mergeCell ref="A2:B2"/>
    <mergeCell ref="A3:B3"/>
    <mergeCell ref="A4:B4"/>
    <mergeCell ref="I7:J7"/>
    <mergeCell ref="I2:J2"/>
    <mergeCell ref="I3:J3"/>
    <mergeCell ref="I4:J4"/>
    <mergeCell ref="I5:J5"/>
    <mergeCell ref="I6:J6"/>
  </mergeCells>
  <conditionalFormatting sqref="C86:F86 H86:N86 T86:XFD86 O97:S97">
    <cfRule type="cellIs" dxfId="1" priority="1" operator="lessThan">
      <formula>0</formula>
    </cfRule>
  </conditionalFormatting>
  <pageMargins left="0.78740157499999996" right="0.78740157499999996" top="0.984251969" bottom="0.984251969" header="0" footer="0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1081"/>
  <sheetViews>
    <sheetView showGridLines="0" tabSelected="1" topLeftCell="A43" zoomScale="110" zoomScaleNormal="110" workbookViewId="0">
      <selection activeCell="I56" sqref="I56"/>
    </sheetView>
  </sheetViews>
  <sheetFormatPr defaultColWidth="14.453125" defaultRowHeight="15.75" customHeight="1" x14ac:dyDescent="0.25"/>
  <cols>
    <col min="1" max="1" width="9.26953125" customWidth="1"/>
    <col min="2" max="2" width="30.90625" customWidth="1"/>
    <col min="3" max="3" width="21.7265625" customWidth="1"/>
    <col min="4" max="4" width="18.90625" customWidth="1"/>
    <col min="5" max="5" width="0.6328125" customWidth="1"/>
    <col min="6" max="6" width="21.453125" customWidth="1"/>
    <col min="7" max="7" width="19.81640625" customWidth="1"/>
    <col min="8" max="8" width="0.81640625" customWidth="1"/>
    <col min="9" max="9" width="22" customWidth="1"/>
    <col min="10" max="10" width="18.7265625" customWidth="1"/>
    <col min="11" max="11" width="14" customWidth="1"/>
    <col min="12" max="12" width="20.36328125" customWidth="1"/>
    <col min="13" max="27" width="14" customWidth="1"/>
  </cols>
  <sheetData>
    <row r="2" spans="1:27" s="108" customFormat="1" ht="28.5" customHeight="1" x14ac:dyDescent="0.3">
      <c r="A2" s="195" t="s">
        <v>84</v>
      </c>
      <c r="B2" s="196"/>
      <c r="C2" s="142" t="s">
        <v>81</v>
      </c>
      <c r="D2" s="143"/>
      <c r="E2" s="107"/>
      <c r="F2" s="142" t="s">
        <v>82</v>
      </c>
      <c r="G2" s="143"/>
      <c r="H2" s="104"/>
      <c r="I2" s="142" t="s">
        <v>83</v>
      </c>
      <c r="J2" s="143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</row>
    <row r="3" spans="1:27" ht="18" customHeight="1" x14ac:dyDescent="0.35">
      <c r="A3" s="35" t="s">
        <v>0</v>
      </c>
      <c r="B3" s="55"/>
      <c r="C3" s="144">
        <v>128692.5</v>
      </c>
      <c r="D3" s="145"/>
      <c r="E3" s="66"/>
      <c r="F3" s="144">
        <v>125515.43</v>
      </c>
      <c r="G3" s="145"/>
      <c r="H3" s="66"/>
      <c r="I3" s="144"/>
      <c r="J3" s="14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8" customHeight="1" x14ac:dyDescent="0.35">
      <c r="A4" s="35" t="s">
        <v>1</v>
      </c>
      <c r="B4" s="55"/>
      <c r="C4" s="144">
        <v>2388.4499999999998</v>
      </c>
      <c r="D4" s="145"/>
      <c r="E4" s="66"/>
      <c r="F4" s="144">
        <v>2388.4499999999998</v>
      </c>
      <c r="G4" s="145"/>
      <c r="H4" s="66"/>
      <c r="I4" s="144"/>
      <c r="J4" s="14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7.25" customHeight="1" x14ac:dyDescent="0.35">
      <c r="A5" s="35" t="s">
        <v>2</v>
      </c>
      <c r="B5" s="55"/>
      <c r="C5" s="144">
        <v>45.56</v>
      </c>
      <c r="D5" s="145"/>
      <c r="E5" s="66"/>
      <c r="F5" s="144">
        <v>55.96</v>
      </c>
      <c r="G5" s="145"/>
      <c r="H5" s="66"/>
      <c r="I5" s="144"/>
      <c r="J5" s="14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7.25" customHeight="1" x14ac:dyDescent="0.35">
      <c r="A6" s="35" t="s">
        <v>3</v>
      </c>
      <c r="B6" s="55"/>
      <c r="C6" s="144">
        <v>108301.12</v>
      </c>
      <c r="D6" s="145"/>
      <c r="E6" s="66"/>
      <c r="F6" s="215">
        <v>83344.990000000005</v>
      </c>
      <c r="G6" s="145"/>
      <c r="H6" s="66"/>
      <c r="I6" s="215">
        <v>0</v>
      </c>
      <c r="J6" s="14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8" customHeight="1" x14ac:dyDescent="0.35">
      <c r="A7" s="36" t="s">
        <v>4</v>
      </c>
      <c r="B7" s="53"/>
      <c r="C7" s="150">
        <f>SUM(C3-C6)</f>
        <v>20391.380000000005</v>
      </c>
      <c r="D7" s="151"/>
      <c r="E7" s="54"/>
      <c r="F7" s="150">
        <f>F3-F6</f>
        <v>42170.439999999988</v>
      </c>
      <c r="G7" s="151"/>
      <c r="H7" s="54"/>
      <c r="I7" s="150"/>
      <c r="J7" s="15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8" customHeight="1" thickBot="1" x14ac:dyDescent="0.4">
      <c r="A8" s="64"/>
      <c r="B8" s="64"/>
      <c r="C8" s="65"/>
      <c r="D8" s="65"/>
      <c r="E8" s="65"/>
      <c r="F8" s="65"/>
      <c r="G8" s="65"/>
      <c r="H8" s="65"/>
      <c r="I8" s="65"/>
      <c r="J8" s="6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s="108" customFormat="1" ht="27" customHeight="1" x14ac:dyDescent="0.3">
      <c r="A9" s="202" t="s">
        <v>71</v>
      </c>
      <c r="B9" s="203"/>
      <c r="C9" s="204" t="s">
        <v>81</v>
      </c>
      <c r="D9" s="203"/>
      <c r="E9" s="111"/>
      <c r="F9" s="210" t="s">
        <v>82</v>
      </c>
      <c r="G9" s="203"/>
      <c r="H9" s="111"/>
      <c r="I9" s="210" t="s">
        <v>83</v>
      </c>
      <c r="J9" s="211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</row>
    <row r="10" spans="1:27" ht="18" customHeight="1" x14ac:dyDescent="0.35">
      <c r="A10" s="207" t="s">
        <v>75</v>
      </c>
      <c r="B10" s="173"/>
      <c r="C10" s="208">
        <f>SUM(D14+D16+D18+D20)</f>
        <v>84924.93278100001</v>
      </c>
      <c r="D10" s="162"/>
      <c r="E10" s="73"/>
      <c r="F10" s="205">
        <f>SUM(G14+G16+G18+G20)</f>
        <v>105319.632237</v>
      </c>
      <c r="G10" s="206"/>
      <c r="H10" s="74"/>
      <c r="I10" s="205">
        <f>SUM(J14+J16+J18)</f>
        <v>0</v>
      </c>
      <c r="J10" s="22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8" customHeight="1" x14ac:dyDescent="0.35">
      <c r="A11" s="213" t="s">
        <v>74</v>
      </c>
      <c r="B11" s="214"/>
      <c r="C11" s="209">
        <f>SUM(D14+D16+D20)</f>
        <v>54857.415665</v>
      </c>
      <c r="D11" s="155"/>
      <c r="E11" s="73"/>
      <c r="F11" s="154">
        <v>0</v>
      </c>
      <c r="G11" s="155"/>
      <c r="H11" s="74"/>
      <c r="I11" s="154">
        <f>SUM(J14+J16)</f>
        <v>0</v>
      </c>
      <c r="J11" s="22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8" customHeight="1" thickBot="1" x14ac:dyDescent="0.4">
      <c r="A12" s="230" t="s">
        <v>4</v>
      </c>
      <c r="B12" s="177"/>
      <c r="C12" s="231">
        <f>SUM(D18)</f>
        <v>30067.517116000003</v>
      </c>
      <c r="D12" s="167"/>
      <c r="E12" s="84"/>
      <c r="F12" s="166">
        <f>G14+G16+G18+G20</f>
        <v>105319.632237</v>
      </c>
      <c r="G12" s="167"/>
      <c r="H12" s="99"/>
      <c r="I12" s="166">
        <f>J18</f>
        <v>0</v>
      </c>
      <c r="J12" s="2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8" customHeight="1" thickBot="1" x14ac:dyDescent="0.4">
      <c r="A13" s="193" t="s">
        <v>77</v>
      </c>
      <c r="B13" s="194"/>
      <c r="C13" s="138" t="s">
        <v>75</v>
      </c>
      <c r="D13" s="118" t="s">
        <v>76</v>
      </c>
      <c r="E13" s="73"/>
      <c r="F13" s="118" t="s">
        <v>0</v>
      </c>
      <c r="G13" s="118" t="s">
        <v>76</v>
      </c>
      <c r="H13" s="73"/>
      <c r="I13" s="118" t="s">
        <v>0</v>
      </c>
      <c r="J13" s="119" t="s">
        <v>76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8" customHeight="1" x14ac:dyDescent="0.35">
      <c r="A14" s="227" t="s">
        <v>78</v>
      </c>
      <c r="B14" s="228"/>
      <c r="C14" s="139">
        <v>1391353.1</v>
      </c>
      <c r="D14" s="115">
        <f>C14*2.87%</f>
        <v>39931.83397</v>
      </c>
      <c r="E14" s="128"/>
      <c r="F14" s="115">
        <v>1999404.07</v>
      </c>
      <c r="G14" s="115">
        <f>F14*2.87%</f>
        <v>57382.896808999998</v>
      </c>
      <c r="H14" s="128"/>
      <c r="I14" s="115"/>
      <c r="J14" s="13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8" customHeight="1" x14ac:dyDescent="0.35">
      <c r="A15" s="229"/>
      <c r="B15" s="224"/>
      <c r="C15" s="136"/>
      <c r="D15" s="131"/>
      <c r="E15" s="75"/>
      <c r="F15" s="130"/>
      <c r="G15" s="132"/>
      <c r="H15" s="91"/>
      <c r="I15" s="130"/>
      <c r="J15" s="11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8" customHeight="1" x14ac:dyDescent="0.35">
      <c r="A16" s="225" t="s">
        <v>79</v>
      </c>
      <c r="B16" s="226"/>
      <c r="C16" s="135">
        <v>267432.34999999998</v>
      </c>
      <c r="D16" s="116">
        <f>C16*2.87%</f>
        <v>7675.3084449999997</v>
      </c>
      <c r="E16" s="74"/>
      <c r="F16" s="116">
        <v>250203.86</v>
      </c>
      <c r="G16" s="116">
        <f>F16*2.87%</f>
        <v>7180.8507819999995</v>
      </c>
      <c r="H16" s="74"/>
      <c r="I16" s="116"/>
      <c r="J16" s="12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8" customHeight="1" x14ac:dyDescent="0.35">
      <c r="A17" s="223"/>
      <c r="B17" s="224"/>
      <c r="C17" s="136"/>
      <c r="D17" s="131"/>
      <c r="E17" s="75"/>
      <c r="F17" s="130"/>
      <c r="G17" s="132"/>
      <c r="H17" s="91"/>
      <c r="I17" s="130"/>
      <c r="J17" s="1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" customHeight="1" x14ac:dyDescent="0.35">
      <c r="A18" s="225" t="s">
        <v>80</v>
      </c>
      <c r="B18" s="226"/>
      <c r="C18" s="135">
        <v>1047648.68</v>
      </c>
      <c r="D18" s="116">
        <f>C18*2.87%</f>
        <v>30067.517116000003</v>
      </c>
      <c r="E18" s="74"/>
      <c r="F18" s="116">
        <v>1168328.08</v>
      </c>
      <c r="G18" s="116">
        <f>F18*2.87%</f>
        <v>33531.015896000004</v>
      </c>
      <c r="H18" s="74"/>
      <c r="I18" s="116"/>
      <c r="J18" s="12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8" customHeight="1" x14ac:dyDescent="0.35">
      <c r="A19" s="113"/>
      <c r="B19" s="114"/>
      <c r="C19" s="136"/>
      <c r="D19" s="131"/>
      <c r="E19" s="75"/>
      <c r="F19" s="130"/>
      <c r="G19" s="132"/>
      <c r="H19" s="91"/>
      <c r="I19" s="130"/>
      <c r="J19" s="11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8" customHeight="1" thickBot="1" x14ac:dyDescent="0.4">
      <c r="A20" s="189" t="s">
        <v>92</v>
      </c>
      <c r="B20" s="190"/>
      <c r="C20" s="137">
        <v>290010.93</v>
      </c>
      <c r="D20" s="117">
        <f>C20*2.5%</f>
        <v>7250.2732500000002</v>
      </c>
      <c r="E20" s="74"/>
      <c r="F20" s="117">
        <v>288994.75</v>
      </c>
      <c r="G20" s="117">
        <f>F20*2.5%</f>
        <v>7224.8687500000005</v>
      </c>
      <c r="H20" s="74"/>
      <c r="I20" s="117"/>
      <c r="J20" s="13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8.75" customHeight="1" thickBot="1" x14ac:dyDescent="0.4">
      <c r="A21" s="197"/>
      <c r="B21" s="198"/>
      <c r="C21" s="199"/>
      <c r="D21" s="199"/>
      <c r="E21" s="199"/>
      <c r="F21" s="199"/>
      <c r="G21" s="199"/>
      <c r="H21" s="199"/>
      <c r="I21" s="199"/>
      <c r="J21" s="200"/>
      <c r="K21" s="3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s="12" customFormat="1" ht="30" x14ac:dyDescent="0.35">
      <c r="A22" s="120" t="s">
        <v>5</v>
      </c>
      <c r="B22" s="121"/>
      <c r="C22" s="122" t="s">
        <v>6</v>
      </c>
      <c r="D22" s="123" t="s">
        <v>7</v>
      </c>
      <c r="E22" s="124"/>
      <c r="F22" s="125" t="s">
        <v>6</v>
      </c>
      <c r="G22" s="126" t="s">
        <v>7</v>
      </c>
      <c r="H22" s="127"/>
      <c r="I22" s="125" t="s">
        <v>6</v>
      </c>
      <c r="J22" s="123" t="s">
        <v>68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s="15" customFormat="1" ht="6" customHeight="1" x14ac:dyDescent="0.35">
      <c r="A23" s="13"/>
      <c r="B23" s="57"/>
      <c r="C23" s="24"/>
      <c r="D23" s="25"/>
      <c r="E23" s="25"/>
      <c r="F23" s="24"/>
      <c r="G23" s="38"/>
      <c r="H23" s="38"/>
      <c r="I23" s="39"/>
      <c r="J23" s="40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8.75" customHeight="1" x14ac:dyDescent="0.25">
      <c r="A24" s="42" t="s">
        <v>8</v>
      </c>
      <c r="B24" s="58"/>
      <c r="C24" s="43">
        <f>SUM(C25,C48)</f>
        <v>166178.37</v>
      </c>
      <c r="D24" s="44">
        <f>SUM(D25,D48)</f>
        <v>1.5344104474635165</v>
      </c>
      <c r="E24" s="68"/>
      <c r="F24" s="45">
        <f>F25+F48</f>
        <v>157992.6</v>
      </c>
      <c r="G24" s="44">
        <f>SUM(G25,G48)</f>
        <v>1.8956460370323398</v>
      </c>
      <c r="H24" s="98"/>
      <c r="I24" s="43">
        <f>I25+I48</f>
        <v>84200.969999999987</v>
      </c>
      <c r="J24" s="44">
        <f>SUM(J25,J48)</f>
        <v>0</v>
      </c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 spans="1:27" ht="18" customHeight="1" x14ac:dyDescent="0.35">
      <c r="A25" s="34" t="s">
        <v>9</v>
      </c>
      <c r="B25" s="59"/>
      <c r="C25" s="30">
        <f>SUM(C26:C46)</f>
        <v>29097.839999999997</v>
      </c>
      <c r="D25" s="32">
        <f>SUM(D26:D46)</f>
        <v>0.26867533779890734</v>
      </c>
      <c r="E25" s="94"/>
      <c r="F25" s="30">
        <f>SUM(F26:F46)</f>
        <v>41448.530000000006</v>
      </c>
      <c r="G25" s="32">
        <f>SUM(G26:G46)</f>
        <v>0.49731279588611144</v>
      </c>
      <c r="H25" s="94"/>
      <c r="I25" s="30">
        <f>SUM(I26:I46)</f>
        <v>8429.17</v>
      </c>
      <c r="J25" s="32">
        <f>SUM(J26:J46)</f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" customHeight="1" x14ac:dyDescent="0.35">
      <c r="A26" s="4" t="s">
        <v>10</v>
      </c>
      <c r="B26" s="60"/>
      <c r="C26" s="31">
        <v>0</v>
      </c>
      <c r="D26" s="33">
        <f>IFERROR(C26/$D$6,0)</f>
        <v>0</v>
      </c>
      <c r="E26" s="95"/>
      <c r="F26" s="31">
        <v>0</v>
      </c>
      <c r="G26" s="33">
        <f>IFERROR(F26/$G$6,0)</f>
        <v>0</v>
      </c>
      <c r="H26" s="95"/>
      <c r="I26" s="31"/>
      <c r="J26" s="33">
        <f>IFERROR(I26/$J$6,0)</f>
        <v>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8" customHeight="1" x14ac:dyDescent="0.35">
      <c r="A27" s="4" t="s">
        <v>11</v>
      </c>
      <c r="B27" s="61"/>
      <c r="C27" s="5">
        <v>800</v>
      </c>
      <c r="D27" s="33">
        <f>IFERROR(C27/$C$6,0)</f>
        <v>7.3868118815391759E-3</v>
      </c>
      <c r="E27" s="70"/>
      <c r="F27" s="5">
        <v>800</v>
      </c>
      <c r="G27" s="33">
        <f>IFERROR(F27/$F$6,0)</f>
        <v>9.5986573398113059E-3</v>
      </c>
      <c r="H27" s="19"/>
      <c r="I27" s="5">
        <v>800</v>
      </c>
      <c r="J27" s="33">
        <f t="shared" ref="J27:J45" si="0">IFERROR(I27/$J$6,0)</f>
        <v>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8" customHeight="1" x14ac:dyDescent="0.35">
      <c r="A28" s="4" t="s">
        <v>12</v>
      </c>
      <c r="B28" s="61"/>
      <c r="C28" s="5">
        <v>1127.5899999999999</v>
      </c>
      <c r="D28" s="33">
        <f>IFERROR(C28/$C$6,0)</f>
        <v>1.0411619011880948E-2</v>
      </c>
      <c r="E28" s="70"/>
      <c r="F28" s="5">
        <v>1234.93</v>
      </c>
      <c r="G28" s="33">
        <f>IFERROR(F28/$F$6,0)</f>
        <v>1.4817087385816472E-2</v>
      </c>
      <c r="H28" s="19"/>
      <c r="I28" s="5"/>
      <c r="J28" s="33">
        <f t="shared" si="0"/>
        <v>0</v>
      </c>
      <c r="K28" s="1"/>
      <c r="L28" s="2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8" customHeight="1" x14ac:dyDescent="0.35">
      <c r="A29" s="4" t="s">
        <v>13</v>
      </c>
      <c r="B29" s="61"/>
      <c r="C29" s="5">
        <v>3931.86</v>
      </c>
      <c r="D29" s="33">
        <f>IFERROR(C29/$C$6,0)</f>
        <v>3.6304887705685782E-2</v>
      </c>
      <c r="E29" s="70"/>
      <c r="F29" s="5">
        <v>2930.26</v>
      </c>
      <c r="G29" s="33">
        <f t="shared" ref="G29:G46" si="1">IFERROR(F29/$F$6,0)</f>
        <v>3.5158202070694353E-2</v>
      </c>
      <c r="H29" s="19"/>
      <c r="I29" s="5"/>
      <c r="J29" s="33">
        <f t="shared" si="0"/>
        <v>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8" customHeight="1" x14ac:dyDescent="0.35">
      <c r="A30" s="4" t="s">
        <v>14</v>
      </c>
      <c r="B30" s="61"/>
      <c r="C30" s="5">
        <v>3047.13</v>
      </c>
      <c r="D30" s="33">
        <f t="shared" ref="D30:D45" si="2">IFERROR(C30/$C$6,0)</f>
        <v>2.8135720110743084E-2</v>
      </c>
      <c r="E30" s="70"/>
      <c r="F30" s="5">
        <v>3005.09</v>
      </c>
      <c r="G30" s="33">
        <f t="shared" si="1"/>
        <v>3.6056036481616954E-2</v>
      </c>
      <c r="H30" s="19"/>
      <c r="I30" s="5">
        <v>3179.83</v>
      </c>
      <c r="J30" s="33">
        <f t="shared" si="0"/>
        <v>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8" customHeight="1" x14ac:dyDescent="0.35">
      <c r="A31" s="191" t="s">
        <v>88</v>
      </c>
      <c r="B31" s="212"/>
      <c r="C31" s="5">
        <v>597</v>
      </c>
      <c r="D31" s="33">
        <f t="shared" si="2"/>
        <v>5.5124083665986099E-3</v>
      </c>
      <c r="E31" s="70"/>
      <c r="F31" s="5">
        <v>0</v>
      </c>
      <c r="G31" s="33">
        <f t="shared" si="1"/>
        <v>0</v>
      </c>
      <c r="H31" s="19"/>
      <c r="I31" s="5"/>
      <c r="J31" s="33">
        <f t="shared" si="0"/>
        <v>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8" customHeight="1" x14ac:dyDescent="0.35">
      <c r="A32" s="191" t="s">
        <v>89</v>
      </c>
      <c r="B32" s="212"/>
      <c r="C32" s="5">
        <v>528</v>
      </c>
      <c r="D32" s="33">
        <f t="shared" si="2"/>
        <v>4.8752958418158557E-3</v>
      </c>
      <c r="E32" s="70"/>
      <c r="F32" s="5">
        <v>0</v>
      </c>
      <c r="G32" s="33">
        <f t="shared" si="1"/>
        <v>0</v>
      </c>
      <c r="H32" s="19"/>
      <c r="I32" s="5"/>
      <c r="J32" s="33">
        <f t="shared" si="0"/>
        <v>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8" customHeight="1" x14ac:dyDescent="0.35">
      <c r="A33" s="4" t="s">
        <v>15</v>
      </c>
      <c r="B33" s="61"/>
      <c r="C33" s="5">
        <v>868.11</v>
      </c>
      <c r="D33" s="33">
        <f t="shared" si="2"/>
        <v>8.0157065781037169E-3</v>
      </c>
      <c r="E33" s="70"/>
      <c r="F33" s="5">
        <v>526.83000000000004</v>
      </c>
      <c r="G33" s="33">
        <f t="shared" si="1"/>
        <v>6.3210758079159891E-3</v>
      </c>
      <c r="H33" s="19"/>
      <c r="I33" s="5"/>
      <c r="J33" s="33">
        <f t="shared" si="0"/>
        <v>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8" customHeight="1" x14ac:dyDescent="0.35">
      <c r="A34" s="4" t="s">
        <v>16</v>
      </c>
      <c r="B34" s="61"/>
      <c r="C34" s="5">
        <v>121.25</v>
      </c>
      <c r="D34" s="33">
        <f t="shared" si="2"/>
        <v>1.1195636757957814E-3</v>
      </c>
      <c r="E34" s="70"/>
      <c r="F34" s="5">
        <v>87.68</v>
      </c>
      <c r="G34" s="33">
        <f t="shared" si="1"/>
        <v>1.0520128444433193E-3</v>
      </c>
      <c r="H34" s="19"/>
      <c r="I34" s="5">
        <v>47.14</v>
      </c>
      <c r="J34" s="33">
        <f t="shared" si="0"/>
        <v>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8" customHeight="1" x14ac:dyDescent="0.35">
      <c r="A35" s="4" t="s">
        <v>17</v>
      </c>
      <c r="B35" s="61"/>
      <c r="C35" s="5">
        <v>106.58</v>
      </c>
      <c r="D35" s="33">
        <f t="shared" si="2"/>
        <v>9.8410801291805663E-4</v>
      </c>
      <c r="E35" s="70"/>
      <c r="F35" s="5">
        <v>106.58</v>
      </c>
      <c r="G35" s="33">
        <f t="shared" si="1"/>
        <v>1.2787811240963613E-3</v>
      </c>
      <c r="H35" s="19"/>
      <c r="I35" s="5">
        <v>106.58</v>
      </c>
      <c r="J35" s="33">
        <f t="shared" si="0"/>
        <v>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8" customHeight="1" x14ac:dyDescent="0.35">
      <c r="A36" s="191" t="s">
        <v>97</v>
      </c>
      <c r="B36" s="212"/>
      <c r="C36" s="5">
        <v>0</v>
      </c>
      <c r="D36" s="33">
        <f t="shared" si="2"/>
        <v>0</v>
      </c>
      <c r="E36" s="70"/>
      <c r="F36" s="5">
        <v>200.17</v>
      </c>
      <c r="G36" s="33">
        <f t="shared" si="1"/>
        <v>2.4017040496375364E-3</v>
      </c>
      <c r="H36" s="19"/>
      <c r="I36" s="5"/>
      <c r="J36" s="33">
        <f t="shared" si="0"/>
        <v>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8" customHeight="1" x14ac:dyDescent="0.35">
      <c r="A37" s="191" t="s">
        <v>98</v>
      </c>
      <c r="B37" s="212"/>
      <c r="C37" s="5">
        <v>0</v>
      </c>
      <c r="D37" s="33">
        <f t="shared" si="2"/>
        <v>0</v>
      </c>
      <c r="E37" s="96"/>
      <c r="F37" s="9">
        <v>105.05</v>
      </c>
      <c r="G37" s="33">
        <f t="shared" si="1"/>
        <v>1.2604236919339722E-3</v>
      </c>
      <c r="H37" s="18"/>
      <c r="I37" s="9"/>
      <c r="J37" s="3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8" customHeight="1" x14ac:dyDescent="0.35">
      <c r="A38" s="191" t="s">
        <v>99</v>
      </c>
      <c r="B38" s="212"/>
      <c r="C38" s="5">
        <v>0</v>
      </c>
      <c r="D38" s="33">
        <f t="shared" si="2"/>
        <v>0</v>
      </c>
      <c r="E38" s="96"/>
      <c r="F38" s="9">
        <v>83.5</v>
      </c>
      <c r="G38" s="33">
        <f t="shared" si="1"/>
        <v>1.0018598598428052E-3</v>
      </c>
      <c r="H38" s="18"/>
      <c r="I38" s="9"/>
      <c r="J38" s="3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8" customHeight="1" x14ac:dyDescent="0.35">
      <c r="A39" s="191" t="s">
        <v>100</v>
      </c>
      <c r="B39" s="212"/>
      <c r="C39" s="5">
        <v>0</v>
      </c>
      <c r="D39" s="33">
        <f t="shared" si="2"/>
        <v>0</v>
      </c>
      <c r="E39" s="96"/>
      <c r="F39" s="9">
        <v>83.5</v>
      </c>
      <c r="G39" s="33">
        <f t="shared" si="1"/>
        <v>1.0018598598428052E-3</v>
      </c>
      <c r="H39" s="18"/>
      <c r="I39" s="9"/>
      <c r="J39" s="3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8" customHeight="1" x14ac:dyDescent="0.35">
      <c r="A40" s="191" t="s">
        <v>101</v>
      </c>
      <c r="B40" s="212"/>
      <c r="C40" s="5">
        <v>0</v>
      </c>
      <c r="D40" s="33">
        <f t="shared" si="2"/>
        <v>0</v>
      </c>
      <c r="E40" s="96"/>
      <c r="F40" s="9">
        <v>141.86000000000001</v>
      </c>
      <c r="G40" s="33">
        <f>IFERROR(F40/$F$6,0)</f>
        <v>1.7020819127820401E-3</v>
      </c>
      <c r="H40" s="18"/>
      <c r="I40" s="9"/>
      <c r="J40" s="3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8" customHeight="1" x14ac:dyDescent="0.35">
      <c r="A41" s="191" t="s">
        <v>93</v>
      </c>
      <c r="B41" s="192"/>
      <c r="C41" s="5">
        <v>11551.39</v>
      </c>
      <c r="D41" s="33">
        <f t="shared" si="2"/>
        <v>0.10665993112536602</v>
      </c>
      <c r="E41" s="96"/>
      <c r="F41" s="9">
        <v>66.97</v>
      </c>
      <c r="G41" s="33">
        <f t="shared" si="1"/>
        <v>8.0352760255895397E-4</v>
      </c>
      <c r="H41" s="18"/>
      <c r="I41" s="9"/>
      <c r="J41" s="33">
        <f t="shared" si="0"/>
        <v>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8" customHeight="1" x14ac:dyDescent="0.35">
      <c r="A42" s="4" t="s">
        <v>20</v>
      </c>
      <c r="B42" s="61"/>
      <c r="C42" s="5">
        <v>1723.8</v>
      </c>
      <c r="D42" s="33">
        <f t="shared" si="2"/>
        <v>1.5916732901746538E-2</v>
      </c>
      <c r="E42" s="96"/>
      <c r="F42" s="9">
        <v>25299.59</v>
      </c>
      <c r="G42" s="33">
        <f t="shared" si="1"/>
        <v>0.30355261905964592</v>
      </c>
      <c r="H42" s="18"/>
      <c r="I42" s="9"/>
      <c r="J42" s="33">
        <f t="shared" si="0"/>
        <v>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8" customHeight="1" x14ac:dyDescent="0.35">
      <c r="A43" s="191" t="s">
        <v>64</v>
      </c>
      <c r="B43" s="192"/>
      <c r="C43" s="5"/>
      <c r="D43" s="33"/>
      <c r="E43" s="96"/>
      <c r="F43" s="9">
        <v>73</v>
      </c>
      <c r="G43" s="33">
        <f t="shared" si="1"/>
        <v>8.7587748225778173E-4</v>
      </c>
      <c r="H43" s="18"/>
      <c r="I43" s="9"/>
      <c r="J43" s="3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8" customHeight="1" x14ac:dyDescent="0.35">
      <c r="A44" s="4" t="s">
        <v>21</v>
      </c>
      <c r="B44" s="61"/>
      <c r="C44" s="5">
        <v>4295.62</v>
      </c>
      <c r="D44" s="33">
        <f t="shared" si="2"/>
        <v>3.9663671068221641E-2</v>
      </c>
      <c r="E44" s="96"/>
      <c r="F44" s="9">
        <v>4230.12</v>
      </c>
      <c r="G44" s="33">
        <f t="shared" si="1"/>
        <v>5.0754340482853252E-2</v>
      </c>
      <c r="H44" s="18"/>
      <c r="I44" s="9">
        <v>4295.62</v>
      </c>
      <c r="J44" s="33">
        <f t="shared" si="0"/>
        <v>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8" customHeight="1" x14ac:dyDescent="0.35">
      <c r="A45" s="4" t="s">
        <v>22</v>
      </c>
      <c r="B45" s="61"/>
      <c r="C45" s="5">
        <v>0</v>
      </c>
      <c r="D45" s="33">
        <f t="shared" si="2"/>
        <v>0</v>
      </c>
      <c r="E45" s="96"/>
      <c r="F45" s="9">
        <v>0</v>
      </c>
      <c r="G45" s="33">
        <f t="shared" si="1"/>
        <v>0</v>
      </c>
      <c r="H45" s="18"/>
      <c r="I45" s="9"/>
      <c r="J45" s="33">
        <f t="shared" si="0"/>
        <v>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8" customHeight="1" x14ac:dyDescent="0.35">
      <c r="A46" s="4" t="s">
        <v>23</v>
      </c>
      <c r="B46" s="61"/>
      <c r="C46" s="5">
        <v>399.51</v>
      </c>
      <c r="D46" s="33">
        <f>IFERROR(C46/$C$6,0)</f>
        <v>3.6888815184921448E-3</v>
      </c>
      <c r="E46" s="96"/>
      <c r="F46" s="9">
        <v>2473.4</v>
      </c>
      <c r="G46" s="33">
        <f t="shared" si="1"/>
        <v>2.9676648830361609E-2</v>
      </c>
      <c r="H46" s="18"/>
      <c r="I46" s="9"/>
      <c r="J46" s="33">
        <f>IFERROR(I46/$J$6,0)</f>
        <v>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s="21" customFormat="1" ht="11.25" customHeight="1" x14ac:dyDescent="0.35">
      <c r="A47" s="16"/>
      <c r="B47" s="62"/>
      <c r="C47" s="17"/>
      <c r="D47" s="18"/>
      <c r="E47" s="18"/>
      <c r="F47" s="17"/>
      <c r="G47" s="18"/>
      <c r="H47" s="18"/>
      <c r="I47" s="17"/>
      <c r="J47" s="19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8" customHeight="1" x14ac:dyDescent="0.35">
      <c r="A48" s="216" t="s">
        <v>24</v>
      </c>
      <c r="B48" s="217"/>
      <c r="C48" s="47">
        <f>SUM(C49,C61,C71,C81,C90,C94)</f>
        <v>137080.53</v>
      </c>
      <c r="D48" s="110">
        <f>SUM(D49+D61+D71+D81+D90+D94)</f>
        <v>1.2657351096646092</v>
      </c>
      <c r="E48" s="97"/>
      <c r="F48" s="47">
        <f>F49+F61+F71+F81+F90+F94</f>
        <v>116544.07</v>
      </c>
      <c r="G48" s="110">
        <f>SUM(G49+G61+G71+G81+G90+G94)</f>
        <v>1.3983332411462284</v>
      </c>
      <c r="H48" s="71"/>
      <c r="I48" s="47">
        <f>SUM(I49+I61+I71+I81+I90+I94+I94)</f>
        <v>75771.799999999988</v>
      </c>
      <c r="J48" s="110">
        <f>SUM(J49+J61+J71+J81+J90+J94)</f>
        <v>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8" customHeight="1" x14ac:dyDescent="0.35">
      <c r="A49" s="2" t="s">
        <v>25</v>
      </c>
      <c r="B49" s="56"/>
      <c r="C49" s="10">
        <f>SUM(C50:C60)</f>
        <v>42087.73</v>
      </c>
      <c r="D49" s="32">
        <f>SUM(D50:D60)</f>
        <v>0.38861768003876596</v>
      </c>
      <c r="E49" s="97"/>
      <c r="F49" s="6">
        <f>SUM(F50:F60)</f>
        <v>41996.369999999995</v>
      </c>
      <c r="G49" s="32">
        <f>SUM(G50:G60)</f>
        <v>0.50388595643241418</v>
      </c>
      <c r="H49" s="71"/>
      <c r="I49" s="6">
        <f>SUM(I50:I60)</f>
        <v>40131.61</v>
      </c>
      <c r="J49" s="32">
        <f>SUM(J50:J60)</f>
        <v>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8" customHeight="1" x14ac:dyDescent="0.35">
      <c r="A50" s="4" t="s">
        <v>10</v>
      </c>
      <c r="B50" s="61"/>
      <c r="C50" s="5">
        <v>0</v>
      </c>
      <c r="D50" s="33">
        <f>IFERROR(C50/$C$6,0)</f>
        <v>0</v>
      </c>
      <c r="E50" s="70"/>
      <c r="F50" s="5">
        <v>0</v>
      </c>
      <c r="G50" s="33">
        <f t="shared" ref="G50:G102" si="3">IFERROR(F50/$F$6,0)</f>
        <v>0</v>
      </c>
      <c r="H50" s="19"/>
      <c r="I50" s="5"/>
      <c r="J50" s="33">
        <f t="shared" ref="J50:J102" si="4">IFERROR(I50/$J$6,0)</f>
        <v>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8" customHeight="1" x14ac:dyDescent="0.35">
      <c r="A51" s="4" t="s">
        <v>15</v>
      </c>
      <c r="B51" s="61"/>
      <c r="C51" s="5">
        <v>1675.46</v>
      </c>
      <c r="D51" s="33">
        <f>IFERROR(C51/$C$6,0)</f>
        <v>1.5470384793804534E-2</v>
      </c>
      <c r="E51" s="70"/>
      <c r="F51" s="5">
        <v>2225.17</v>
      </c>
      <c r="G51" s="33">
        <f t="shared" si="3"/>
        <v>2.6698305441034909E-2</v>
      </c>
      <c r="H51" s="19"/>
      <c r="I51" s="5">
        <v>1881.36</v>
      </c>
      <c r="J51" s="33">
        <f t="shared" si="4"/>
        <v>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8" customHeight="1" x14ac:dyDescent="0.35">
      <c r="A52" s="4" t="s">
        <v>17</v>
      </c>
      <c r="B52" s="61"/>
      <c r="C52" s="5">
        <v>326.08999999999997</v>
      </c>
      <c r="D52" s="33">
        <f>IFERROR(C52/$C$6,0)</f>
        <v>3.0109568580638868E-3</v>
      </c>
      <c r="E52" s="70"/>
      <c r="F52" s="5">
        <v>326.08999999999997</v>
      </c>
      <c r="G52" s="33">
        <f t="shared" si="3"/>
        <v>3.9125327149238361E-3</v>
      </c>
      <c r="H52" s="19"/>
      <c r="I52" s="5">
        <v>324.95</v>
      </c>
      <c r="J52" s="33">
        <f t="shared" si="4"/>
        <v>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8" customHeight="1" x14ac:dyDescent="0.35">
      <c r="A53" s="4" t="s">
        <v>26</v>
      </c>
      <c r="B53" s="61"/>
      <c r="C53" s="5">
        <v>5731.03</v>
      </c>
      <c r="D53" s="33">
        <f t="shared" ref="D53:D59" si="5">IFERROR(C53/$C$6,0)</f>
        <v>5.2917550621821824E-2</v>
      </c>
      <c r="E53" s="70"/>
      <c r="F53" s="5">
        <v>6000</v>
      </c>
      <c r="G53" s="33">
        <f t="shared" si="3"/>
        <v>7.1989930048584796E-2</v>
      </c>
      <c r="H53" s="19"/>
      <c r="I53" s="5">
        <v>6000</v>
      </c>
      <c r="J53" s="33">
        <f t="shared" si="4"/>
        <v>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8" customHeight="1" x14ac:dyDescent="0.35">
      <c r="A54" s="4" t="s">
        <v>27</v>
      </c>
      <c r="B54" s="61"/>
      <c r="C54" s="5">
        <v>18257.04</v>
      </c>
      <c r="D54" s="33">
        <f t="shared" si="5"/>
        <v>0.16857664999217001</v>
      </c>
      <c r="E54" s="70"/>
      <c r="F54" s="5">
        <v>16836.96</v>
      </c>
      <c r="G54" s="33">
        <f t="shared" si="3"/>
        <v>0.20201526210513671</v>
      </c>
      <c r="H54" s="19"/>
      <c r="I54" s="5">
        <v>18137.400000000001</v>
      </c>
      <c r="J54" s="33">
        <f t="shared" si="4"/>
        <v>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8" customHeight="1" x14ac:dyDescent="0.35">
      <c r="A55" s="4" t="s">
        <v>28</v>
      </c>
      <c r="B55" s="61"/>
      <c r="C55" s="5">
        <v>8499.64</v>
      </c>
      <c r="D55" s="33">
        <f>IFERROR(C55/$C$6,0)</f>
        <v>7.8481552176007038E-2</v>
      </c>
      <c r="E55" s="70"/>
      <c r="F55" s="5">
        <v>8455.73</v>
      </c>
      <c r="G55" s="33">
        <f>IFERROR(F55/$F$6,0)</f>
        <v>0.10145456853495331</v>
      </c>
      <c r="H55" s="19"/>
      <c r="I55" s="5">
        <v>7064</v>
      </c>
      <c r="J55" s="33">
        <f>IFERROR(I55/$J$6,0)</f>
        <v>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8" customHeight="1" x14ac:dyDescent="0.35">
      <c r="A56" s="4" t="s">
        <v>29</v>
      </c>
      <c r="B56" s="61"/>
      <c r="C56" s="5">
        <v>181.96</v>
      </c>
      <c r="D56" s="33">
        <f t="shared" si="5"/>
        <v>1.6801303624560855E-3</v>
      </c>
      <c r="E56" s="70"/>
      <c r="F56" s="5">
        <v>205.96</v>
      </c>
      <c r="G56" s="33">
        <f t="shared" si="3"/>
        <v>2.4711743321344211E-3</v>
      </c>
      <c r="H56" s="19"/>
      <c r="I56" s="5">
        <v>148.97</v>
      </c>
      <c r="J56" s="33">
        <f t="shared" si="4"/>
        <v>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8" customHeight="1" x14ac:dyDescent="0.35">
      <c r="A57" s="4" t="s">
        <v>30</v>
      </c>
      <c r="B57" s="61"/>
      <c r="C57" s="5">
        <v>137.68</v>
      </c>
      <c r="D57" s="33">
        <f t="shared" si="5"/>
        <v>1.2712703248128922E-3</v>
      </c>
      <c r="E57" s="70"/>
      <c r="F57" s="5">
        <v>136.22999999999999</v>
      </c>
      <c r="G57" s="33">
        <f t="shared" si="3"/>
        <v>1.6345313617531177E-3</v>
      </c>
      <c r="H57" s="19"/>
      <c r="I57" s="5">
        <v>70.400000000000006</v>
      </c>
      <c r="J57" s="33">
        <f t="shared" si="4"/>
        <v>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8" customHeight="1" x14ac:dyDescent="0.35">
      <c r="A58" s="4" t="s">
        <v>31</v>
      </c>
      <c r="B58" s="61"/>
      <c r="C58" s="5">
        <v>600</v>
      </c>
      <c r="D58" s="33">
        <f t="shared" si="5"/>
        <v>5.5401089111543813E-3</v>
      </c>
      <c r="E58" s="70"/>
      <c r="F58" s="5">
        <v>1140</v>
      </c>
      <c r="G58" s="33">
        <f t="shared" si="3"/>
        <v>1.3678086709231112E-2</v>
      </c>
      <c r="H58" s="19"/>
      <c r="I58" s="5"/>
      <c r="J58" s="33">
        <f t="shared" si="4"/>
        <v>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8" customHeight="1" x14ac:dyDescent="0.35">
      <c r="A59" s="4" t="s">
        <v>32</v>
      </c>
      <c r="B59" s="61"/>
      <c r="C59" s="5">
        <v>174.3</v>
      </c>
      <c r="D59" s="33">
        <f t="shared" si="5"/>
        <v>1.6094016386903479E-3</v>
      </c>
      <c r="E59" s="70"/>
      <c r="F59" s="5">
        <v>165.7</v>
      </c>
      <c r="G59" s="33">
        <f t="shared" si="3"/>
        <v>1.9881219015084168E-3</v>
      </c>
      <c r="H59" s="19"/>
      <c r="I59" s="5"/>
      <c r="J59" s="33">
        <f t="shared" si="4"/>
        <v>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8" customHeight="1" x14ac:dyDescent="0.35">
      <c r="A60" s="4" t="s">
        <v>33</v>
      </c>
      <c r="B60" s="61"/>
      <c r="C60" s="5">
        <v>6504.53</v>
      </c>
      <c r="D60" s="33">
        <f>IFERROR(C60/$C$6,0)</f>
        <v>6.0059674359785015E-2</v>
      </c>
      <c r="E60" s="70"/>
      <c r="F60" s="5">
        <v>6504.53</v>
      </c>
      <c r="G60" s="33">
        <f t="shared" si="3"/>
        <v>7.8043443283153546E-2</v>
      </c>
      <c r="H60" s="19"/>
      <c r="I60" s="5">
        <v>6504.53</v>
      </c>
      <c r="J60" s="33">
        <f t="shared" si="4"/>
        <v>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8" customHeight="1" x14ac:dyDescent="0.35">
      <c r="A61" s="2" t="s">
        <v>34</v>
      </c>
      <c r="B61" s="56"/>
      <c r="C61" s="10">
        <f>SUM(C62:C70)</f>
        <v>8726.01</v>
      </c>
      <c r="D61" s="109">
        <f>SUM(D62:D70)</f>
        <v>8.057174293303708E-2</v>
      </c>
      <c r="E61" s="97"/>
      <c r="F61" s="6">
        <f>SUM(F62:F70)</f>
        <v>15433.71</v>
      </c>
      <c r="G61" s="109">
        <f>SUM(G62:G70)</f>
        <v>0.18517861721502396</v>
      </c>
      <c r="H61" s="71"/>
      <c r="I61" s="6">
        <f>SUM(I62:I70)</f>
        <v>4439.87</v>
      </c>
      <c r="J61" s="109">
        <f>SUM(J62:J70)</f>
        <v>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8" customHeight="1" x14ac:dyDescent="0.35">
      <c r="A62" s="4" t="s">
        <v>35</v>
      </c>
      <c r="B62" s="61"/>
      <c r="C62" s="5">
        <v>2118.34</v>
      </c>
      <c r="D62" s="33">
        <f t="shared" ref="D62:D69" si="6">IFERROR(C62/$C$6,0)</f>
        <v>1.9559723851424623E-2</v>
      </c>
      <c r="E62" s="96"/>
      <c r="F62" s="9">
        <v>1276.1199999999999</v>
      </c>
      <c r="G62" s="33">
        <f t="shared" si="3"/>
        <v>1.5311298255600004E-2</v>
      </c>
      <c r="H62" s="19"/>
      <c r="I62" s="5"/>
      <c r="J62" s="33">
        <f t="shared" si="4"/>
        <v>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8" customHeight="1" x14ac:dyDescent="0.35">
      <c r="A63" s="4" t="s">
        <v>36</v>
      </c>
      <c r="B63" s="61"/>
      <c r="C63" s="5">
        <v>2323.2800000000002</v>
      </c>
      <c r="D63" s="33">
        <f t="shared" si="6"/>
        <v>2.1452040385177923E-2</v>
      </c>
      <c r="E63" s="96"/>
      <c r="F63" s="9">
        <v>1637.31</v>
      </c>
      <c r="G63" s="33">
        <f t="shared" si="3"/>
        <v>1.9644972061308063E-2</v>
      </c>
      <c r="H63" s="19"/>
      <c r="I63" s="5"/>
      <c r="J63" s="33">
        <f t="shared" si="4"/>
        <v>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8" customHeight="1" x14ac:dyDescent="0.35">
      <c r="A64" s="4" t="s">
        <v>37</v>
      </c>
      <c r="B64" s="61"/>
      <c r="C64" s="5">
        <v>3076.13</v>
      </c>
      <c r="D64" s="33">
        <f t="shared" si="6"/>
        <v>2.8403492041448881E-2</v>
      </c>
      <c r="E64" s="96"/>
      <c r="F64" s="9">
        <v>3104.06</v>
      </c>
      <c r="G64" s="33">
        <f t="shared" si="3"/>
        <v>3.7243510377768352E-2</v>
      </c>
      <c r="H64" s="19"/>
      <c r="I64" s="5">
        <v>3131.43</v>
      </c>
      <c r="J64" s="33">
        <f t="shared" si="4"/>
        <v>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8" customHeight="1" x14ac:dyDescent="0.35">
      <c r="A65" s="4" t="s">
        <v>38</v>
      </c>
      <c r="B65" s="61"/>
      <c r="C65" s="5">
        <v>583.84</v>
      </c>
      <c r="D65" s="33">
        <f t="shared" si="6"/>
        <v>5.3908953111472908E-3</v>
      </c>
      <c r="E65" s="96"/>
      <c r="F65" s="9">
        <v>608.01</v>
      </c>
      <c r="G65" s="33">
        <f t="shared" si="3"/>
        <v>7.2950995614733402E-3</v>
      </c>
      <c r="H65" s="19"/>
      <c r="I65" s="5">
        <v>619.46</v>
      </c>
      <c r="J65" s="33">
        <f t="shared" si="4"/>
        <v>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8" customHeight="1" x14ac:dyDescent="0.35">
      <c r="A66" s="4" t="s">
        <v>69</v>
      </c>
      <c r="B66" s="61"/>
      <c r="C66" s="5">
        <v>0</v>
      </c>
      <c r="D66" s="33">
        <f t="shared" si="6"/>
        <v>0</v>
      </c>
      <c r="E66" s="96"/>
      <c r="F66" s="9">
        <v>3754.72</v>
      </c>
      <c r="G66" s="33">
        <f t="shared" si="3"/>
        <v>4.5050338358670387E-2</v>
      </c>
      <c r="H66" s="19"/>
      <c r="I66" s="5"/>
      <c r="J66" s="33">
        <f>IFERROR(I66/$J$6,0)</f>
        <v>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8" customHeight="1" x14ac:dyDescent="0.35">
      <c r="A67" s="191" t="s">
        <v>87</v>
      </c>
      <c r="B67" s="192"/>
      <c r="C67" s="5">
        <v>0</v>
      </c>
      <c r="D67" s="33">
        <f>IFERROR(C67/$C$6,0)</f>
        <v>0</v>
      </c>
      <c r="E67" s="96"/>
      <c r="F67" s="5">
        <v>557.1</v>
      </c>
      <c r="G67" s="33">
        <f t="shared" si="3"/>
        <v>6.6842650050110992E-3</v>
      </c>
      <c r="H67" s="18"/>
      <c r="I67" s="9"/>
      <c r="J67" s="33">
        <f>IFERROR(I67/$J$6,0)</f>
        <v>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8" customHeight="1" x14ac:dyDescent="0.35">
      <c r="A68" s="4" t="s">
        <v>40</v>
      </c>
      <c r="B68" s="61"/>
      <c r="C68" s="5">
        <v>624.41999999999996</v>
      </c>
      <c r="D68" s="33">
        <f t="shared" si="6"/>
        <v>5.7655913438383645E-3</v>
      </c>
      <c r="E68" s="96"/>
      <c r="F68" s="9">
        <v>688.98</v>
      </c>
      <c r="G68" s="33">
        <f t="shared" si="3"/>
        <v>8.2666036674789931E-3</v>
      </c>
      <c r="H68" s="19"/>
      <c r="I68" s="5">
        <v>688.98</v>
      </c>
      <c r="J68" s="33">
        <f t="shared" si="4"/>
        <v>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8" customHeight="1" x14ac:dyDescent="0.35">
      <c r="A69" s="191" t="s">
        <v>95</v>
      </c>
      <c r="B69" s="212"/>
      <c r="C69" s="5">
        <v>0</v>
      </c>
      <c r="D69" s="33">
        <f t="shared" si="6"/>
        <v>0</v>
      </c>
      <c r="E69" s="96"/>
      <c r="F69" s="9">
        <v>121.57</v>
      </c>
      <c r="G69" s="33">
        <f t="shared" si="3"/>
        <v>1.4586359660010756E-3</v>
      </c>
      <c r="H69" s="19"/>
      <c r="I69" s="5"/>
      <c r="J69" s="3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8" customHeight="1" x14ac:dyDescent="0.35">
      <c r="A70" s="191" t="s">
        <v>96</v>
      </c>
      <c r="B70" s="212"/>
      <c r="C70" s="5">
        <v>0</v>
      </c>
      <c r="D70" s="33">
        <f>IFERROR(C70/$C$6,0)</f>
        <v>0</v>
      </c>
      <c r="E70" s="96"/>
      <c r="F70" s="9">
        <v>3685.84</v>
      </c>
      <c r="G70" s="33">
        <f t="shared" si="3"/>
        <v>4.4223893961712633E-2</v>
      </c>
      <c r="H70" s="19"/>
      <c r="I70" s="5"/>
      <c r="J70" s="33">
        <f t="shared" si="4"/>
        <v>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8" customHeight="1" x14ac:dyDescent="0.35">
      <c r="A71" s="2" t="s">
        <v>42</v>
      </c>
      <c r="B71" s="56"/>
      <c r="C71" s="10">
        <f>SUM(C72:C80)</f>
        <v>36908</v>
      </c>
      <c r="D71" s="8">
        <f>SUM(D72:D80)</f>
        <v>0.34079056615480985</v>
      </c>
      <c r="E71" s="71"/>
      <c r="F71" s="6">
        <f>SUM(F72:F80)</f>
        <v>3433.31</v>
      </c>
      <c r="G71" s="8">
        <f>SUM(G72:G80)</f>
        <v>4.1193957789184443E-2</v>
      </c>
      <c r="H71" s="71"/>
      <c r="I71" s="6">
        <f>SUM(I72:I80)</f>
        <v>0</v>
      </c>
      <c r="J71" s="8">
        <f>SUM(J72:J80)</f>
        <v>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8" customHeight="1" x14ac:dyDescent="0.35">
      <c r="A72" s="4" t="s">
        <v>90</v>
      </c>
      <c r="B72" s="61"/>
      <c r="C72" s="5">
        <v>296</v>
      </c>
      <c r="D72" s="33">
        <f t="shared" ref="D72:D79" si="7">IFERROR(C72/$C$6,0)</f>
        <v>2.7331203961694951E-3</v>
      </c>
      <c r="E72" s="70"/>
      <c r="F72" s="5">
        <v>0</v>
      </c>
      <c r="G72" s="33">
        <f t="shared" si="3"/>
        <v>0</v>
      </c>
      <c r="H72" s="19"/>
      <c r="I72" s="5"/>
      <c r="J72" s="33">
        <f t="shared" si="4"/>
        <v>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8" customHeight="1" x14ac:dyDescent="0.35">
      <c r="A73" s="4" t="s">
        <v>90</v>
      </c>
      <c r="B73" s="61"/>
      <c r="C73" s="5">
        <v>597</v>
      </c>
      <c r="D73" s="33">
        <f t="shared" si="7"/>
        <v>5.5124083665986099E-3</v>
      </c>
      <c r="E73" s="70"/>
      <c r="F73" s="5">
        <v>0</v>
      </c>
      <c r="G73" s="33">
        <f t="shared" si="3"/>
        <v>0</v>
      </c>
      <c r="H73" s="19"/>
      <c r="I73" s="5"/>
      <c r="J73" s="33">
        <f t="shared" si="4"/>
        <v>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8" customHeight="1" x14ac:dyDescent="0.35">
      <c r="A74" s="4" t="s">
        <v>43</v>
      </c>
      <c r="B74" s="61"/>
      <c r="C74" s="5">
        <v>2278.62</v>
      </c>
      <c r="D74" s="33">
        <f t="shared" si="7"/>
        <v>2.1039671611890996E-2</v>
      </c>
      <c r="E74" s="70"/>
      <c r="F74" s="5">
        <v>1058.31</v>
      </c>
      <c r="G74" s="33">
        <f t="shared" si="3"/>
        <v>1.2697943811619629E-2</v>
      </c>
      <c r="H74" s="19"/>
      <c r="I74" s="5"/>
      <c r="J74" s="33">
        <f t="shared" si="4"/>
        <v>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8" customHeight="1" x14ac:dyDescent="0.35">
      <c r="A75" s="4" t="s">
        <v>44</v>
      </c>
      <c r="B75" s="61"/>
      <c r="C75" s="5">
        <v>1000</v>
      </c>
      <c r="D75" s="33">
        <f t="shared" si="7"/>
        <v>9.2335148519239688E-3</v>
      </c>
      <c r="E75" s="70"/>
      <c r="F75" s="5">
        <v>1000</v>
      </c>
      <c r="G75" s="33">
        <f t="shared" si="3"/>
        <v>1.1998321674764133E-2</v>
      </c>
      <c r="H75" s="19"/>
      <c r="I75" s="5"/>
      <c r="J75" s="33">
        <f t="shared" si="4"/>
        <v>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8" customHeight="1" x14ac:dyDescent="0.35">
      <c r="A76" s="4" t="s">
        <v>45</v>
      </c>
      <c r="B76" s="61"/>
      <c r="C76" s="5">
        <v>0</v>
      </c>
      <c r="D76" s="33">
        <f t="shared" si="7"/>
        <v>0</v>
      </c>
      <c r="E76" s="70"/>
      <c r="F76" s="5">
        <v>675</v>
      </c>
      <c r="G76" s="33">
        <f t="shared" si="3"/>
        <v>8.0988671304657901E-3</v>
      </c>
      <c r="H76" s="19"/>
      <c r="I76" s="5"/>
      <c r="J76" s="33">
        <f t="shared" si="4"/>
        <v>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8" customHeight="1" x14ac:dyDescent="0.35">
      <c r="A77" s="191" t="s">
        <v>103</v>
      </c>
      <c r="B77" s="212"/>
      <c r="C77" s="5">
        <v>0</v>
      </c>
      <c r="D77" s="33">
        <f t="shared" si="7"/>
        <v>0</v>
      </c>
      <c r="E77" s="70"/>
      <c r="F77" s="5">
        <v>700</v>
      </c>
      <c r="G77" s="33">
        <f t="shared" si="3"/>
        <v>8.3988251723348933E-3</v>
      </c>
      <c r="H77" s="19"/>
      <c r="I77" s="5"/>
      <c r="J77" s="33">
        <f t="shared" si="4"/>
        <v>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8" customHeight="1" x14ac:dyDescent="0.35">
      <c r="A78" s="191" t="s">
        <v>91</v>
      </c>
      <c r="B78" s="212"/>
      <c r="C78" s="5">
        <v>26000</v>
      </c>
      <c r="D78" s="33">
        <f t="shared" si="7"/>
        <v>0.24007138615002321</v>
      </c>
      <c r="E78" s="96"/>
      <c r="F78" s="5">
        <v>0</v>
      </c>
      <c r="G78" s="33">
        <f t="shared" si="3"/>
        <v>0</v>
      </c>
      <c r="H78" s="18"/>
      <c r="I78" s="9"/>
      <c r="J78" s="33">
        <f t="shared" si="4"/>
        <v>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8" customHeight="1" x14ac:dyDescent="0.35">
      <c r="A79" s="4" t="s">
        <v>47</v>
      </c>
      <c r="B79" s="61"/>
      <c r="C79" s="5">
        <v>6736.38</v>
      </c>
      <c r="D79" s="33">
        <f t="shared" si="7"/>
        <v>6.2200464778203589E-2</v>
      </c>
      <c r="E79" s="70"/>
      <c r="F79" s="5">
        <v>0</v>
      </c>
      <c r="G79" s="33">
        <f t="shared" si="3"/>
        <v>0</v>
      </c>
      <c r="H79" s="19"/>
      <c r="I79" s="5"/>
      <c r="J79" s="33">
        <f t="shared" si="4"/>
        <v>0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8" customHeight="1" x14ac:dyDescent="0.35">
      <c r="A80" s="4" t="s">
        <v>48</v>
      </c>
      <c r="B80" s="61"/>
      <c r="C80" s="5">
        <v>0</v>
      </c>
      <c r="D80" s="33">
        <f>IFERROR(C80/$C$6,0)</f>
        <v>0</v>
      </c>
      <c r="E80" s="70"/>
      <c r="F80" s="5">
        <v>0</v>
      </c>
      <c r="G80" s="33">
        <f t="shared" si="3"/>
        <v>0</v>
      </c>
      <c r="H80" s="19"/>
      <c r="I80" s="5"/>
      <c r="J80" s="33">
        <f t="shared" si="4"/>
        <v>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8" customHeight="1" x14ac:dyDescent="0.35">
      <c r="A81" s="2" t="s">
        <v>49</v>
      </c>
      <c r="B81" s="56"/>
      <c r="C81" s="6">
        <f>SUM(C82:C89)</f>
        <v>31063.510000000002</v>
      </c>
      <c r="D81" s="8">
        <f>SUM(D82:D89)</f>
        <v>0.28682538093788879</v>
      </c>
      <c r="E81" s="71"/>
      <c r="F81" s="6">
        <f>SUM(F82:F89)</f>
        <v>37748.550000000003</v>
      </c>
      <c r="G81" s="8">
        <f>SUM(G82:G89)</f>
        <v>0.45291924565591757</v>
      </c>
      <c r="H81" s="71"/>
      <c r="I81" s="6">
        <f>SUM(I82:I89)</f>
        <v>27284.42</v>
      </c>
      <c r="J81" s="8">
        <f>SUM(J82:J89)</f>
        <v>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8" customHeight="1" x14ac:dyDescent="0.35">
      <c r="A82" s="4" t="s">
        <v>50</v>
      </c>
      <c r="B82" s="61"/>
      <c r="C82" s="5">
        <v>10500</v>
      </c>
      <c r="D82" s="33">
        <f t="shared" ref="D82:D102" si="8">IFERROR(C82/$C$6,0)</f>
        <v>9.6951905945201686E-2</v>
      </c>
      <c r="E82" s="70"/>
      <c r="F82" s="5">
        <v>10500</v>
      </c>
      <c r="G82" s="33">
        <f t="shared" si="3"/>
        <v>0.1259823775850234</v>
      </c>
      <c r="H82" s="19"/>
      <c r="I82" s="5">
        <v>10500</v>
      </c>
      <c r="J82" s="33">
        <f t="shared" si="4"/>
        <v>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8" customHeight="1" x14ac:dyDescent="0.35">
      <c r="A83" s="4" t="s">
        <v>51</v>
      </c>
      <c r="B83" s="61"/>
      <c r="C83" s="5">
        <v>3465</v>
      </c>
      <c r="D83" s="33">
        <f t="shared" si="8"/>
        <v>3.1994128961916557E-2</v>
      </c>
      <c r="E83" s="70"/>
      <c r="F83" s="5">
        <v>3435</v>
      </c>
      <c r="G83" s="33">
        <f t="shared" si="3"/>
        <v>4.1214234952814795E-2</v>
      </c>
      <c r="H83" s="19"/>
      <c r="I83" s="5">
        <v>3420</v>
      </c>
      <c r="J83" s="33">
        <f t="shared" si="4"/>
        <v>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8" customHeight="1" x14ac:dyDescent="0.35">
      <c r="A84" s="4" t="s">
        <v>52</v>
      </c>
      <c r="B84" s="61"/>
      <c r="C84" s="5">
        <v>2612.5</v>
      </c>
      <c r="D84" s="33">
        <f t="shared" si="8"/>
        <v>2.4122557550651371E-2</v>
      </c>
      <c r="E84" s="70"/>
      <c r="F84" s="5">
        <v>2612.5</v>
      </c>
      <c r="G84" s="33">
        <f>IFERROR(F84/$F$6,0)</f>
        <v>3.1345615375321295E-2</v>
      </c>
      <c r="H84" s="19"/>
      <c r="I84" s="5">
        <v>1045</v>
      </c>
      <c r="J84" s="33">
        <f>IFERROR(I84/$J$6,0)</f>
        <v>0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8" customHeight="1" x14ac:dyDescent="0.35">
      <c r="A85" s="4" t="s">
        <v>53</v>
      </c>
      <c r="B85" s="61"/>
      <c r="C85" s="5">
        <v>12968.01</v>
      </c>
      <c r="D85" s="33">
        <f t="shared" si="8"/>
        <v>0.11974031293489856</v>
      </c>
      <c r="E85" s="70"/>
      <c r="F85" s="5">
        <v>13683.05</v>
      </c>
      <c r="G85" s="33">
        <f t="shared" si="3"/>
        <v>0.16417363539188137</v>
      </c>
      <c r="H85" s="19"/>
      <c r="I85" s="5">
        <v>6001.42</v>
      </c>
      <c r="J85" s="33">
        <f t="shared" si="4"/>
        <v>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8" customHeight="1" x14ac:dyDescent="0.35">
      <c r="A86" s="4" t="s">
        <v>70</v>
      </c>
      <c r="B86" s="61"/>
      <c r="C86" s="5">
        <v>1518</v>
      </c>
      <c r="D86" s="33">
        <f t="shared" si="8"/>
        <v>1.4016475545220586E-2</v>
      </c>
      <c r="E86" s="96"/>
      <c r="F86" s="9">
        <v>1518</v>
      </c>
      <c r="G86" s="33">
        <f t="shared" si="3"/>
        <v>1.8213452302291953E-2</v>
      </c>
      <c r="H86" s="18"/>
      <c r="I86" s="9">
        <v>1518</v>
      </c>
      <c r="J86" s="33">
        <f t="shared" si="4"/>
        <v>0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8" customHeight="1" x14ac:dyDescent="0.35">
      <c r="A87" s="4" t="s">
        <v>94</v>
      </c>
      <c r="B87" s="61"/>
      <c r="C87" s="5">
        <v>0</v>
      </c>
      <c r="D87" s="33">
        <f>IFERROR(C87/$C$6,0)</f>
        <v>0</v>
      </c>
      <c r="E87" s="96"/>
      <c r="F87" s="9">
        <v>2500</v>
      </c>
      <c r="G87" s="33">
        <f t="shared" si="3"/>
        <v>2.9995804186910332E-2</v>
      </c>
      <c r="H87" s="18"/>
      <c r="I87" s="9">
        <v>0</v>
      </c>
      <c r="J87" s="33">
        <f>IFERROR(I87/$J$6,0)</f>
        <v>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8" customHeight="1" x14ac:dyDescent="0.35">
      <c r="A88" s="191" t="s">
        <v>102</v>
      </c>
      <c r="B88" s="212"/>
      <c r="C88" s="5">
        <v>0</v>
      </c>
      <c r="D88" s="33">
        <f>IFERROR(C88/$C$6,0)</f>
        <v>0</v>
      </c>
      <c r="E88" s="96"/>
      <c r="F88" s="9">
        <v>3500</v>
      </c>
      <c r="G88" s="33">
        <f t="shared" si="3"/>
        <v>4.1994125861674468E-2</v>
      </c>
      <c r="H88" s="18"/>
      <c r="I88" s="9">
        <v>3500</v>
      </c>
      <c r="J88" s="33">
        <f>IFERROR(I88/$J$6,0)</f>
        <v>0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8" customHeight="1" x14ac:dyDescent="0.35">
      <c r="A89" s="4" t="s">
        <v>57</v>
      </c>
      <c r="B89" s="61"/>
      <c r="C89" s="5">
        <v>0</v>
      </c>
      <c r="D89" s="33">
        <f>IFERROR(C89/$C$6,0)</f>
        <v>0</v>
      </c>
      <c r="E89" s="96"/>
      <c r="F89" s="9">
        <v>0</v>
      </c>
      <c r="G89" s="33">
        <f t="shared" si="3"/>
        <v>0</v>
      </c>
      <c r="H89" s="18"/>
      <c r="I89" s="9">
        <v>1300</v>
      </c>
      <c r="J89" s="33">
        <f>IFERROR(I89/$J$6,0)</f>
        <v>0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8" customHeight="1" x14ac:dyDescent="0.35">
      <c r="A90" s="2" t="s">
        <v>54</v>
      </c>
      <c r="B90" s="56"/>
      <c r="C90" s="6">
        <f>SUM(C91:C93)</f>
        <v>16952.810000000001</v>
      </c>
      <c r="D90" s="8">
        <f>SUM(D91:D93)</f>
        <v>0.15653402291684521</v>
      </c>
      <c r="E90" s="71"/>
      <c r="F90" s="6">
        <f>SUM(F91:F93)</f>
        <v>16719.349999999999</v>
      </c>
      <c r="G90" s="8">
        <f>SUM(G91:G93)</f>
        <v>0.20060413949296771</v>
      </c>
      <c r="H90" s="71"/>
      <c r="I90" s="6">
        <f>SUM(I91:I93)</f>
        <v>3915.9</v>
      </c>
      <c r="J90" s="8">
        <f>SUM(J91:J93)</f>
        <v>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8" customHeight="1" x14ac:dyDescent="0.35">
      <c r="A91" s="4" t="s">
        <v>55</v>
      </c>
      <c r="B91" s="61"/>
      <c r="C91" s="5">
        <v>2114.77</v>
      </c>
      <c r="D91" s="33">
        <f t="shared" si="8"/>
        <v>1.9526760203403253E-2</v>
      </c>
      <c r="E91" s="70"/>
      <c r="F91" s="5">
        <v>2231.31</v>
      </c>
      <c r="G91" s="33">
        <f t="shared" si="3"/>
        <v>2.6771975136117957E-2</v>
      </c>
      <c r="H91" s="19"/>
      <c r="I91" s="5">
        <v>920</v>
      </c>
      <c r="J91" s="33">
        <f t="shared" si="4"/>
        <v>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8" customHeight="1" x14ac:dyDescent="0.35">
      <c r="A92" s="4" t="s">
        <v>56</v>
      </c>
      <c r="B92" s="61"/>
      <c r="C92" s="5">
        <v>11338.04</v>
      </c>
      <c r="D92" s="33">
        <f t="shared" si="8"/>
        <v>0.10468996073170805</v>
      </c>
      <c r="E92" s="70"/>
      <c r="F92" s="5">
        <v>11338.04</v>
      </c>
      <c r="G92" s="33">
        <f t="shared" si="3"/>
        <v>0.13603745108134274</v>
      </c>
      <c r="H92" s="19"/>
      <c r="I92" s="5">
        <v>2995.9</v>
      </c>
      <c r="J92" s="33">
        <f t="shared" si="4"/>
        <v>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8" customHeight="1" x14ac:dyDescent="0.35">
      <c r="A93" s="4" t="s">
        <v>57</v>
      </c>
      <c r="B93" s="61"/>
      <c r="C93" s="5">
        <v>3500</v>
      </c>
      <c r="D93" s="33">
        <f t="shared" si="8"/>
        <v>3.2317301981733895E-2</v>
      </c>
      <c r="E93" s="70"/>
      <c r="F93" s="5">
        <v>3150</v>
      </c>
      <c r="G93" s="33">
        <f t="shared" si="3"/>
        <v>3.7794713275507021E-2</v>
      </c>
      <c r="H93" s="19"/>
      <c r="I93" s="5">
        <v>0</v>
      </c>
      <c r="J93" s="33">
        <f t="shared" si="4"/>
        <v>0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8" customHeight="1" x14ac:dyDescent="0.35">
      <c r="A94" s="2" t="s">
        <v>58</v>
      </c>
      <c r="B94" s="56"/>
      <c r="C94" s="6">
        <f>SUM(C95:C102)</f>
        <v>1342.47</v>
      </c>
      <c r="D94" s="8">
        <f>SUM(D95:D102)</f>
        <v>1.239571668326237E-2</v>
      </c>
      <c r="E94" s="71"/>
      <c r="F94" s="6">
        <f>SUM(F95:F102)</f>
        <v>1212.78</v>
      </c>
      <c r="G94" s="8">
        <f>SUM(G95:G102)</f>
        <v>1.4551324560720447E-2</v>
      </c>
      <c r="H94" s="71"/>
      <c r="I94" s="6">
        <f>SUM(I95:I102)</f>
        <v>0</v>
      </c>
      <c r="J94" s="8">
        <f>SUM(J95:J102)</f>
        <v>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8" customHeight="1" x14ac:dyDescent="0.35">
      <c r="A95" s="4" t="s">
        <v>59</v>
      </c>
      <c r="B95" s="61"/>
      <c r="C95" s="5">
        <v>0</v>
      </c>
      <c r="D95" s="33">
        <f t="shared" si="8"/>
        <v>0</v>
      </c>
      <c r="E95" s="70"/>
      <c r="F95" s="5">
        <v>0</v>
      </c>
      <c r="G95" s="33">
        <f t="shared" si="3"/>
        <v>0</v>
      </c>
      <c r="H95" s="19"/>
      <c r="I95" s="5"/>
      <c r="J95" s="33">
        <f t="shared" si="4"/>
        <v>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8" customHeight="1" x14ac:dyDescent="0.35">
      <c r="A96" s="4" t="s">
        <v>60</v>
      </c>
      <c r="B96" s="61"/>
      <c r="C96" s="5">
        <v>192</v>
      </c>
      <c r="D96" s="33">
        <f t="shared" si="8"/>
        <v>1.7728348515694021E-3</v>
      </c>
      <c r="E96" s="70"/>
      <c r="F96" s="5">
        <v>300</v>
      </c>
      <c r="G96" s="33">
        <f t="shared" si="3"/>
        <v>3.5994965024292399E-3</v>
      </c>
      <c r="H96" s="19"/>
      <c r="I96" s="5"/>
      <c r="J96" s="33">
        <f t="shared" si="4"/>
        <v>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8" customHeight="1" x14ac:dyDescent="0.35">
      <c r="A97" s="4" t="s">
        <v>61</v>
      </c>
      <c r="B97" s="61"/>
      <c r="C97" s="5">
        <v>0</v>
      </c>
      <c r="D97" s="33">
        <f t="shared" si="8"/>
        <v>0</v>
      </c>
      <c r="E97" s="70"/>
      <c r="F97" s="5">
        <v>35.96</v>
      </c>
      <c r="G97" s="33">
        <f t="shared" si="3"/>
        <v>4.3145964742451822E-4</v>
      </c>
      <c r="H97" s="19"/>
      <c r="I97" s="5"/>
      <c r="J97" s="33">
        <f t="shared" si="4"/>
        <v>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8" customHeight="1" x14ac:dyDescent="0.35">
      <c r="A98" s="4" t="s">
        <v>62</v>
      </c>
      <c r="B98" s="61"/>
      <c r="C98" s="5">
        <v>291.79000000000002</v>
      </c>
      <c r="D98" s="33">
        <f t="shared" si="8"/>
        <v>2.694247298642895E-3</v>
      </c>
      <c r="E98" s="70"/>
      <c r="F98" s="5">
        <v>0</v>
      </c>
      <c r="G98" s="33">
        <f t="shared" si="3"/>
        <v>0</v>
      </c>
      <c r="H98" s="19"/>
      <c r="I98" s="5"/>
      <c r="J98" s="33">
        <f>IFERROR(I98/$J$6,0)</f>
        <v>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8" customHeight="1" x14ac:dyDescent="0.35">
      <c r="A99" s="4" t="s">
        <v>63</v>
      </c>
      <c r="B99" s="61"/>
      <c r="C99" s="5">
        <v>756.23</v>
      </c>
      <c r="D99" s="33">
        <f t="shared" si="8"/>
        <v>6.9826609364704636E-3</v>
      </c>
      <c r="E99" s="70"/>
      <c r="F99" s="5">
        <v>705.99</v>
      </c>
      <c r="G99" s="33">
        <f t="shared" si="3"/>
        <v>8.4706951191667306E-3</v>
      </c>
      <c r="H99" s="19"/>
      <c r="I99" s="5"/>
      <c r="J99" s="33">
        <f t="shared" si="4"/>
        <v>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8" customHeight="1" x14ac:dyDescent="0.35">
      <c r="A100" s="4" t="s">
        <v>64</v>
      </c>
      <c r="B100" s="61"/>
      <c r="C100" s="5">
        <v>81.45</v>
      </c>
      <c r="D100" s="33">
        <f t="shared" si="8"/>
        <v>7.5206978468920734E-4</v>
      </c>
      <c r="E100" s="70"/>
      <c r="F100" s="5">
        <v>0</v>
      </c>
      <c r="G100" s="33">
        <f t="shared" si="3"/>
        <v>0</v>
      </c>
      <c r="H100" s="19"/>
      <c r="I100" s="5"/>
      <c r="J100" s="33">
        <f t="shared" si="4"/>
        <v>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8" customHeight="1" x14ac:dyDescent="0.35">
      <c r="A101" s="4" t="s">
        <v>65</v>
      </c>
      <c r="B101" s="61"/>
      <c r="C101" s="5">
        <v>21</v>
      </c>
      <c r="D101" s="33">
        <f t="shared" si="8"/>
        <v>1.9390381189040337E-4</v>
      </c>
      <c r="E101" s="70"/>
      <c r="F101" s="5">
        <v>0</v>
      </c>
      <c r="G101" s="33">
        <f t="shared" si="3"/>
        <v>0</v>
      </c>
      <c r="H101" s="19"/>
      <c r="I101" s="5"/>
      <c r="J101" s="33">
        <f t="shared" si="4"/>
        <v>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8" customHeight="1" x14ac:dyDescent="0.35">
      <c r="A102" s="4" t="s">
        <v>66</v>
      </c>
      <c r="B102" s="61"/>
      <c r="C102" s="5">
        <v>0</v>
      </c>
      <c r="D102" s="33">
        <f t="shared" si="8"/>
        <v>0</v>
      </c>
      <c r="E102" s="70"/>
      <c r="F102" s="5">
        <v>170.83</v>
      </c>
      <c r="G102" s="33">
        <f t="shared" si="3"/>
        <v>2.0496732916999568E-3</v>
      </c>
      <c r="H102" s="19"/>
      <c r="I102" s="5"/>
      <c r="J102" s="33">
        <f t="shared" si="4"/>
        <v>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s="22" customFormat="1" ht="15.75" customHeight="1" x14ac:dyDescent="0.3">
      <c r="A103" s="218" t="s">
        <v>67</v>
      </c>
      <c r="B103" s="219"/>
      <c r="C103" s="49">
        <f>SUM(C6)-C48</f>
        <v>-28779.410000000003</v>
      </c>
      <c r="D103" s="49"/>
      <c r="E103" s="72"/>
      <c r="F103" s="49">
        <f>SUM(F6)-F48</f>
        <v>-33199.08</v>
      </c>
      <c r="G103" s="49"/>
      <c r="H103" s="19"/>
      <c r="I103" s="49">
        <f>SUM(I6)-I48</f>
        <v>-75771.799999999988</v>
      </c>
      <c r="J103" s="49"/>
    </row>
    <row r="104" spans="1:27" ht="7.5" customHeight="1" x14ac:dyDescent="0.35">
      <c r="A104" s="148"/>
      <c r="B104" s="148"/>
      <c r="C104" s="149"/>
      <c r="D104" s="149"/>
      <c r="E104" s="149"/>
      <c r="F104" s="149"/>
      <c r="G104" s="149"/>
      <c r="H104" s="149"/>
      <c r="I104" s="149"/>
      <c r="J104" s="20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8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8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8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8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8" customHeight="1" x14ac:dyDescent="0.35">
      <c r="A109" s="1"/>
      <c r="B109" s="1"/>
      <c r="C109" s="146"/>
      <c r="D109" s="146"/>
      <c r="E109" s="146"/>
      <c r="F109" s="146"/>
      <c r="G109" s="146"/>
      <c r="H109" s="146"/>
      <c r="I109" s="14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8" customHeight="1" x14ac:dyDescent="0.35">
      <c r="A110" s="1"/>
      <c r="B110" s="1"/>
      <c r="C110" s="146"/>
      <c r="D110" s="146"/>
      <c r="E110" s="146"/>
      <c r="F110" s="146"/>
      <c r="G110" s="146"/>
      <c r="H110" s="146"/>
      <c r="I110" s="14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8" customHeight="1" x14ac:dyDescent="0.35">
      <c r="A111" s="1"/>
      <c r="B111" s="1"/>
      <c r="C111" s="146"/>
      <c r="D111" s="146"/>
      <c r="E111" s="146"/>
      <c r="F111" s="146"/>
      <c r="G111" s="146"/>
      <c r="H111" s="146"/>
      <c r="I111" s="14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8" customHeight="1" x14ac:dyDescent="0.35">
      <c r="A112" s="1"/>
      <c r="B112" s="1"/>
      <c r="C112" s="146"/>
      <c r="D112" s="146"/>
      <c r="E112" s="146"/>
      <c r="F112" s="146"/>
      <c r="G112" s="146"/>
      <c r="H112" s="146"/>
      <c r="I112" s="14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8" customHeight="1" x14ac:dyDescent="0.35">
      <c r="A113" s="1"/>
      <c r="B113" s="1"/>
      <c r="C113" s="146"/>
      <c r="D113" s="146"/>
      <c r="E113" s="146"/>
      <c r="F113" s="146"/>
      <c r="G113" s="146"/>
      <c r="H113" s="146"/>
      <c r="I113" s="14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8" customHeight="1" x14ac:dyDescent="0.35">
      <c r="A114" s="1"/>
      <c r="B114" s="1"/>
      <c r="C114" s="3"/>
      <c r="D114" s="3"/>
      <c r="E114" s="3"/>
      <c r="F114" s="3"/>
      <c r="G114" s="3"/>
      <c r="H114" s="3"/>
      <c r="I114" s="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8" customHeight="1" x14ac:dyDescent="0.35">
      <c r="A115" s="1"/>
      <c r="B115" s="1"/>
      <c r="C115" s="3"/>
      <c r="D115" s="3"/>
      <c r="E115" s="3"/>
      <c r="F115" s="3"/>
      <c r="G115" s="3"/>
      <c r="H115" s="3"/>
      <c r="I115" s="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8" customHeight="1" x14ac:dyDescent="0.35">
      <c r="A116" s="1"/>
      <c r="B116" s="1"/>
      <c r="C116" s="3"/>
      <c r="D116" s="3"/>
      <c r="E116" s="3"/>
      <c r="F116" s="3"/>
      <c r="G116" s="3"/>
      <c r="H116" s="3"/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8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8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8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8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8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8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8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8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8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8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8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8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8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8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8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8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8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8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8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8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8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8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8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8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8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8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8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8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8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8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8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8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8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8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8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8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8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8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8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8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8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8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8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8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8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8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8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8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8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8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8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8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8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8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8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8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8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8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8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8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8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8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8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8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8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8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8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8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8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8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8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8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8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8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8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8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8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8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8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8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8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8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8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8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8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8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8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8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8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8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8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8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8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8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8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8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8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8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8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8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8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8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8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8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8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8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8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8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8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8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8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8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8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8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8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8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8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8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8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8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8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8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8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8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8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8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8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8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8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8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8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8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8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8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8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8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8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8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8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8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8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8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8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8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8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8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8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8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8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8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8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8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8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8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8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8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8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8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8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8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8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8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8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8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8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8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8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8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8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8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8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8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8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8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8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8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8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8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8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8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8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8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8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8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8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8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8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8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8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8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8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8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8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8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8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8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8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8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8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8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8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8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8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8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8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8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8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8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8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8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8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8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8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8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8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8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8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8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8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8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8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8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8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8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8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8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8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8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8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8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8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8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8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8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8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8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8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8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8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8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8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8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8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8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8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8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8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8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8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8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8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8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8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8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8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8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8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8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8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8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8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8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8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8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8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8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8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8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8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8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8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8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8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8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8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8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8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8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8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8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8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8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8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8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8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8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8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8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8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8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8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8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8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8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8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8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8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8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8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8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8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8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8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8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8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8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8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8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8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8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8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8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8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8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8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8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8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8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8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8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8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8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8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8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8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8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8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8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8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8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8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8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8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8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8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8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8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8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8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8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8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8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8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8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8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8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8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8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8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8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8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8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8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8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8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8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8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8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8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8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8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8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8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8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8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8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8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8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8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8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8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8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8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8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8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8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8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8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8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8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8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8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8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8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8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8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8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8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8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8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8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8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8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8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8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8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8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8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8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8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8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8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8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8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8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8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8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8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8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8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8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8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8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8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8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8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8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8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8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8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8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8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8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8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8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8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8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8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8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8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8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8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8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8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8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8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8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8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8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8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8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8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8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8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8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8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8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8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8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8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8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8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8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8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8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8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8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8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8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8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8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8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8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8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8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8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8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8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8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8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8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8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8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8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8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8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8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8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8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8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8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8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8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8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8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8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8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8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8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8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8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8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8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8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8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8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8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8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8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8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8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8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8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8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8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8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8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8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8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8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8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8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8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8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8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8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8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8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8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8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8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8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8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8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8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8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8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8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8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8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8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8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8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8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8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8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8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8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8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8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8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8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8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8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8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8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8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8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8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8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8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8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8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8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8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8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8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8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8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8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8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8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8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8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8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8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8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8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8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8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8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8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8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8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8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8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8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8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8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8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8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8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8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8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8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8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8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8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8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8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8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8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8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8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8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8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8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8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8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8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8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8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8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8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8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8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8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8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8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8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8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8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8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8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8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8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8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8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8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8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8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8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8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8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8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8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8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8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8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8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8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8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8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8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8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8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8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8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8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8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8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8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8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8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8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8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8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8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8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8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8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8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8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8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8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8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8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8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8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8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8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8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8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8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8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8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8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8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8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8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8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8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8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8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8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8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8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8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8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8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8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8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8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8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8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8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8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8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8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8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8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8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8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8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8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8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8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8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8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8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8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8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8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8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8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8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8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8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8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8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8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8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8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8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8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8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8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8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8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8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8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8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8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8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8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8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8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8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8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8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8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8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8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8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8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8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8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8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8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8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8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8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8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8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8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8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8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8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8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8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8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8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8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8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8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8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8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8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8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8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8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8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8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8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8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8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8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8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8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8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8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8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8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8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8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8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8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8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8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8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8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8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8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8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8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8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8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8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8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8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8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8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8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8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8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8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8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8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8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8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8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8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8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8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8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8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8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8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8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8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8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8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8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8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8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8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8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8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8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8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8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8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8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8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8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8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8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8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8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8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8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8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8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8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8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8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8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8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8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8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8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8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8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8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8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8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8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8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8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8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8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8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8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8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8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8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8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8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8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8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8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8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8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8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8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8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8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8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8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8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8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8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8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8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8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8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8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8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8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8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8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8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8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8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8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8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8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8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8" customHeigh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8" customHeigh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8" customHeight="1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8" customHeight="1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8" customHeight="1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8" customHeight="1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8" customHeight="1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8" customHeight="1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8" customHeight="1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8" customHeight="1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8" customHeight="1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8" customHeight="1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8" customHeight="1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8" customHeight="1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18" customHeight="1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18" customHeight="1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8" customHeight="1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8" customHeight="1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18" customHeight="1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18" customHeight="1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ht="18" customHeight="1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ht="18" customHeight="1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ht="18" customHeight="1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ht="18" customHeight="1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ht="18" customHeight="1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ht="18" customHeight="1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ht="18" customHeight="1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ht="18" customHeight="1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ht="18" customHeight="1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ht="18" customHeight="1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ht="18" customHeight="1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ht="18" customHeight="1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ht="18" customHeight="1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ht="18" customHeight="1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ht="18" customHeight="1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ht="18" customHeight="1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ht="18" customHeight="1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ht="18" customHeight="1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ht="18" customHeight="1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ht="18" customHeight="1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ht="18" customHeight="1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ht="18" customHeight="1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ht="18" customHeight="1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ht="18" customHeight="1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ht="18" customHeight="1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ht="18" customHeight="1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ht="18" customHeight="1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ht="18" customHeight="1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ht="18" customHeight="1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ht="18" customHeight="1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ht="18" customHeight="1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ht="18" customHeight="1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ht="18" customHeight="1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ht="18" customHeight="1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ht="18" customHeight="1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1:27" ht="18" customHeight="1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1:27" ht="18" customHeight="1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1:27" ht="18" customHeight="1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ht="18" customHeight="1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ht="18" customHeight="1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1:27" ht="18" customHeight="1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1:27" ht="18" customHeight="1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1:27" ht="18" customHeight="1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1:27" ht="18" customHeight="1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ht="18" customHeight="1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ht="18" customHeight="1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1:27" ht="18" customHeight="1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1:27" ht="18" customHeight="1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1:27" ht="18" customHeight="1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1:27" ht="18" customHeight="1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1:27" ht="18" customHeight="1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1:27" ht="18" customHeight="1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1:27" ht="18" customHeight="1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1:27" ht="18" customHeight="1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1:27" ht="18" customHeight="1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1:27" ht="18" customHeight="1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1:27" ht="18" customHeight="1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</sheetData>
  <sortState xmlns:xlrd2="http://schemas.microsoft.com/office/spreadsheetml/2017/richdata2" ref="A26:J46">
    <sortCondition ref="A26:A46"/>
  </sortState>
  <mergeCells count="64">
    <mergeCell ref="F6:G6"/>
    <mergeCell ref="I6:J6"/>
    <mergeCell ref="A48:B48"/>
    <mergeCell ref="A32:B32"/>
    <mergeCell ref="A103:B103"/>
    <mergeCell ref="I10:J10"/>
    <mergeCell ref="I11:J11"/>
    <mergeCell ref="I12:J12"/>
    <mergeCell ref="A17:B17"/>
    <mergeCell ref="A18:B18"/>
    <mergeCell ref="A14:B14"/>
    <mergeCell ref="A15:B15"/>
    <mergeCell ref="A16:B16"/>
    <mergeCell ref="F12:G12"/>
    <mergeCell ref="A12:B12"/>
    <mergeCell ref="C12:D12"/>
    <mergeCell ref="F11:G11"/>
    <mergeCell ref="A67:B67"/>
    <mergeCell ref="A31:B31"/>
    <mergeCell ref="C111:I112"/>
    <mergeCell ref="A11:B11"/>
    <mergeCell ref="A69:B69"/>
    <mergeCell ref="A70:B70"/>
    <mergeCell ref="A36:B36"/>
    <mergeCell ref="A37:B37"/>
    <mergeCell ref="A38:B38"/>
    <mergeCell ref="A39:B39"/>
    <mergeCell ref="A40:B40"/>
    <mergeCell ref="A88:B88"/>
    <mergeCell ref="A77:B77"/>
    <mergeCell ref="C113:I113"/>
    <mergeCell ref="C7:D7"/>
    <mergeCell ref="F7:G7"/>
    <mergeCell ref="I7:J7"/>
    <mergeCell ref="A21:J21"/>
    <mergeCell ref="A104:J104"/>
    <mergeCell ref="C109:I110"/>
    <mergeCell ref="A9:B9"/>
    <mergeCell ref="C9:D9"/>
    <mergeCell ref="F10:G10"/>
    <mergeCell ref="A10:B10"/>
    <mergeCell ref="C10:D10"/>
    <mergeCell ref="C11:D11"/>
    <mergeCell ref="F9:G9"/>
    <mergeCell ref="I9:J9"/>
    <mergeCell ref="A78:B78"/>
    <mergeCell ref="C2:D2"/>
    <mergeCell ref="F2:G2"/>
    <mergeCell ref="I2:J2"/>
    <mergeCell ref="A2:B2"/>
    <mergeCell ref="C3:D3"/>
    <mergeCell ref="F3:G3"/>
    <mergeCell ref="I3:J3"/>
    <mergeCell ref="F4:G4"/>
    <mergeCell ref="I4:J4"/>
    <mergeCell ref="C5:D5"/>
    <mergeCell ref="F5:G5"/>
    <mergeCell ref="I5:J5"/>
    <mergeCell ref="C6:D6"/>
    <mergeCell ref="A20:B20"/>
    <mergeCell ref="A41:B41"/>
    <mergeCell ref="A43:B43"/>
    <mergeCell ref="C4:D4"/>
    <mergeCell ref="A13:B13"/>
  </mergeCells>
  <conditionalFormatting sqref="C103:G103 I103:XFD103">
    <cfRule type="cellIs" dxfId="0" priority="1" operator="lessThan">
      <formula>0</formula>
    </cfRule>
  </conditionalFormatting>
  <pageMargins left="0.78740157499999996" right="0.78740157499999996" top="0.984251969" bottom="0.984251969" header="0" footer="0"/>
  <pageSetup paperSize="9" scale="95" orientation="landscape" r:id="rId1"/>
  <ignoredErrors>
    <ignoredError sqref="G94 G90 J90 D94 D90 J94 G27" 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ampla contabilidade</dc:creator>
  <cp:keywords/>
  <dc:description/>
  <cp:lastModifiedBy>Sergio Carneiro Leao</cp:lastModifiedBy>
  <cp:revision/>
  <cp:lastPrinted>2025-01-23T14:10:11Z</cp:lastPrinted>
  <dcterms:created xsi:type="dcterms:W3CDTF">2025-01-20T20:48:54Z</dcterms:created>
  <dcterms:modified xsi:type="dcterms:W3CDTF">2025-11-30T09:13:08Z</dcterms:modified>
  <cp:category/>
  <cp:contentStatus/>
</cp:coreProperties>
</file>