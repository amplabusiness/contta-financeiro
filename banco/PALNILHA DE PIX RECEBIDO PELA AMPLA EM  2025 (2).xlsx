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FE95F8EC-5009-41E1-91E2-C2A42CEEE58F}" xr6:coauthVersionLast="47" xr6:coauthVersionMax="47" xr10:uidLastSave="{00000000-0000-0000-0000-000000000000}"/>
  <bookViews>
    <workbookView xWindow="-23148" yWindow="948" windowWidth="23256" windowHeight="12456" xr2:uid="{71B475BD-E760-42B6-BFBD-97A334787AB8}"/>
  </bookViews>
  <sheets>
    <sheet name="01-2025 ok" sheetId="1" r:id="rId1"/>
    <sheet name="02-2025" sheetId="2" r:id="rId2"/>
    <sheet name="03-2025" sheetId="3" r:id="rId3"/>
    <sheet name="04-2025 ok" sheetId="4" r:id="rId4"/>
    <sheet name="05-2025 ok" sheetId="5" r:id="rId5"/>
    <sheet name="06-2025" sheetId="6" r:id="rId6"/>
    <sheet name="07-2025" sheetId="7" r:id="rId7"/>
    <sheet name="08-2025" sheetId="8" r:id="rId8"/>
    <sheet name="09-2025 ok" sheetId="9" r:id="rId9"/>
    <sheet name="10-2025 ok" sheetId="10" r:id="rId10"/>
    <sheet name="11-2025" sheetId="11" r:id="rId11"/>
    <sheet name="12-2025" sheetId="12" r:id="rId12"/>
  </sheets>
  <definedNames>
    <definedName name="_xlnm._FilterDatabase" localSheetId="6" hidden="1">'07-2025'!$A$2:$E$2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4" l="1"/>
  <c r="D30" i="10"/>
  <c r="D31" i="9"/>
  <c r="D22" i="8"/>
  <c r="D21" i="7"/>
  <c r="D22" i="6"/>
  <c r="D37" i="5"/>
  <c r="D18" i="3"/>
  <c r="D21" i="2"/>
  <c r="D17" i="1"/>
</calcChain>
</file>

<file path=xl/sharedStrings.xml><?xml version="1.0" encoding="utf-8"?>
<sst xmlns="http://schemas.openxmlformats.org/spreadsheetml/2006/main" count="872" uniqueCount="262">
  <si>
    <t>PIX BANCO SICREDI - AMPLA CONTABILIDADE - JANEIRO DE 2025</t>
  </si>
  <si>
    <t>DIA</t>
  </si>
  <si>
    <t>CLIENTE</t>
  </si>
  <si>
    <t>VALOR</t>
  </si>
  <si>
    <t>COMPETENCIA</t>
  </si>
  <si>
    <t>RECEBIMENTO PIX 83438718120 Paula Milhomem</t>
  </si>
  <si>
    <t>PIX_CRED</t>
  </si>
  <si>
    <t>restaurante iuvaci</t>
  </si>
  <si>
    <t>RECEBIMENTO PIX 31458451000109 ACTION SOLUCOES I</t>
  </si>
  <si>
    <t>honorario 2.85% faturamento</t>
  </si>
  <si>
    <t>RECEBIMENTO PIX 24799541000190 EMILIA GONCALVES</t>
  </si>
  <si>
    <t>RECEBIMENTO PIX SICREDI 51859330000178 CANAL PET</t>
  </si>
  <si>
    <t>CX553033</t>
  </si>
  <si>
    <t>RECEBIMENTO PIX 28792279000102 A.I EMPREENDIMENT</t>
  </si>
  <si>
    <t>RECEBIMENTO PIX 31092004149 JULIANA PERILLO M DE</t>
  </si>
  <si>
    <t>RECEBIMENTO PIX 07119310000179 MATA PRAGAS CONTR</t>
  </si>
  <si>
    <t>RECEBIMENTO PIX 03892392161 ENZO DE AQUINO ALVES</t>
  </si>
  <si>
    <t>RECEBIMENTO PIX 59153970187 IVAIR GONCALVES DA S</t>
  </si>
  <si>
    <t>TOTAL</t>
  </si>
  <si>
    <t>PIX BANCO SICREDI - AMPLA CONTABILIDADE - FEVEREIRO DE 2025</t>
  </si>
  <si>
    <t>0/02/2025</t>
  </si>
  <si>
    <t>RECEBIMENTO PIX 23893032000169 AMPLA CONTABILIDA</t>
  </si>
  <si>
    <t>RECEBIMENTO PIX 00382835140 ROGERIO SOARES BARBO</t>
  </si>
  <si>
    <t>RECEBIMENTO PIX 51404813000188 RACING PARK LTDA</t>
  </si>
  <si>
    <t>RECEBIMENTO PIX 50464753000126 AMPLA SAUDE OCUPA</t>
  </si>
  <si>
    <t>RECEBIMENTO PIX 71388354187 RENATO SILVEIRA BRAG</t>
  </si>
  <si>
    <t>RECEBIMENTO PIX 36457937000138 CENTRO OESTE SERV</t>
  </si>
  <si>
    <t>RECEBIMENTO PIX 43313437000198 ANAPOLIS SERVICOS</t>
  </si>
  <si>
    <t>PIX BANCO SICREDI - AMPLA CONTABILIDADE - MARÇO DE 2025</t>
  </si>
  <si>
    <t>RECEBIMENTO PIX 02992700177 GEORGIA OLIVEIRA ADR</t>
  </si>
  <si>
    <t>RECEBIMENTO PIX 14728289000174 MG MECANICA INDUS</t>
  </si>
  <si>
    <t>RECEBIMENTO PIX 41414660000104 JJC PRESTADORA DE</t>
  </si>
  <si>
    <t>PIX BANCO SICREDI - AMPLA CONTABILIDADE -ABRIL DE 2025</t>
  </si>
  <si>
    <t>RECEBIMENTO PIX 95000321120 POLYANNA DOMINGOS VI</t>
  </si>
  <si>
    <t>RECEBIMENTO PIX 00192934104 REGIANE ALVES BANDEI</t>
  </si>
  <si>
    <t>PAGT HONORARIO CENTRO MEDICO MILHOMEM</t>
  </si>
  <si>
    <t>RECEBIMENTO PIX 28048711000155 VR CONSULTORIA LT</t>
  </si>
  <si>
    <t>ALTERAÇÃO DE ATIVIDADE DA ACTION - ASI</t>
  </si>
  <si>
    <t>RECEBIMENTO PIX 05799682190 TAYLANE BELLE FERREI</t>
  </si>
  <si>
    <t>RECEBIMENTO PIX 10655883134 CROVERLY FERREIRA DO</t>
  </si>
  <si>
    <t>IRPF 2025 CROVERLY E ALINE</t>
  </si>
  <si>
    <t>RECEBIMENTO PIX 75103346168 GUSTAVO GONCALVES B</t>
  </si>
  <si>
    <t>CONSTITUIÇÃO DA EMPRESA SHARKSAPACE</t>
  </si>
  <si>
    <t>HONORARIO SEMANAL CAGI - AI</t>
  </si>
  <si>
    <t>HONORARIO 03/2025 JPL AGROPECUARIA</t>
  </si>
  <si>
    <t>IRPF 2025 PEDRO, NEUZ, JULIANA E EDISON</t>
  </si>
  <si>
    <t>RECEBIMENTO PIX 38151976000138 IRON BUILD ENGENH</t>
  </si>
  <si>
    <t>IRPF 2025 CESAR MORTARI</t>
  </si>
  <si>
    <t>RECEBIMENTO PIX 46011869000132 PM ADMINISTRACAO</t>
  </si>
  <si>
    <t>PIX BANCO SICREDI - AMPLA CONTABILIDADE - MAIO DE 2025</t>
  </si>
  <si>
    <t>RECEBIMENTO PIX 88617335149 KEILA DANTAS CESARIO</t>
  </si>
  <si>
    <t>PAGT HONORARIO ABRIL E 2025 ALLIANCE</t>
  </si>
  <si>
    <t>RECEBIMENTO PIX 50728407191 MARCOS ADRIANO PIRES</t>
  </si>
  <si>
    <t>RECEBIMENTO PIX 83289305104 MONICA L T BORGES</t>
  </si>
  <si>
    <t>RECEBIMENTO PIX 26174910000184 CDC PLAYGROUND E</t>
  </si>
  <si>
    <t>RECEBIMENTO PIX 67693865691 TEREZA CRISTINA DA S</t>
  </si>
  <si>
    <t>RECEBIMENTO PIX 31500841000191 IPE COMERCIO E SE</t>
  </si>
  <si>
    <t>RECEBIMENTO PIX 54757860110 ALEXANDRE FERNANDES</t>
  </si>
  <si>
    <t>RECEBIMENTO PIX 89993608149 Silvane Henrique da</t>
  </si>
  <si>
    <t>RECEBIMENTO PIX 88872181615 HUMBERTO FERNANDES M</t>
  </si>
  <si>
    <t>RECEBIMENTO PIX 01082838101 VINICIUS REIS DOMING</t>
  </si>
  <si>
    <t>RECEBIMENTO PIX 98912658115 PAULA FERNANDA G BIT</t>
  </si>
  <si>
    <t>RECEBIMENTO PIX 36475483168 LINDBERGH DIAS FERNA</t>
  </si>
  <si>
    <t>RECEBIMENTO PIX 00265527104 RUBENS CAETANO VIEIR</t>
  </si>
  <si>
    <t>RECEBIMENTO PIX 95984070715 ANA MARIA MARTINS GO</t>
  </si>
  <si>
    <t>RECEBIMENTO PIX 00978020000131 WESLEY MARTINS MO</t>
  </si>
  <si>
    <t>RECEBIMENTO PIX 01110338104 MARINA GABRIELA GONC</t>
  </si>
  <si>
    <t>RECEBIMENTO PIX 58818340115 JEFERSON ROBERTO DIS</t>
  </si>
  <si>
    <t>RECEBIMENTO PIX 11803753000151 LIVRE VISTORIA VE</t>
  </si>
  <si>
    <t>RECEBIMENTO PIX 07205272000177 LAJES NUNES EIREL</t>
  </si>
  <si>
    <t>RECEBIMENTO PIX 36316814100 JOSE ROBSON DA SILVA</t>
  </si>
  <si>
    <t>0/05/2025</t>
  </si>
  <si>
    <t>PIX BANCO SICREDI - AMPLA CONTABILIDADE - JUNHO DE 2025</t>
  </si>
  <si>
    <t>RECEBIMENTO PIX 47070387000116 STAR EMPORIO DE B</t>
  </si>
  <si>
    <t>RECEBIMENTO PIX 60731909000141 SHARKSAPACE GASTR</t>
  </si>
  <si>
    <t>RECEBIMENTO PIX 03417161118 SAULO DUTRA BRANQUIN</t>
  </si>
  <si>
    <t>RECEBIMENTO PIX 02992702110 GARIBALDI ADRIANO NE</t>
  </si>
  <si>
    <t>RECEBIMENTO PIX 03788751169 NAYARA CRISTINA PERE</t>
  </si>
  <si>
    <t>RECEBIMENTO PIX 99606712168 ALAN ARANTES DE SOUZ</t>
  </si>
  <si>
    <t>0/06/2025</t>
  </si>
  <si>
    <t>PIX BANCO SICREDI - AMPLA CONTABILIDADE - JULHO DE 2025</t>
  </si>
  <si>
    <t>RECEBIMENTO PIX 35512069000189 ANDRENA CASSIA DE</t>
  </si>
  <si>
    <t>RECEBIMENTO PIX 03157404180 Robson Alves Pacini</t>
  </si>
  <si>
    <t>RECEBIMENTO PIX 13478872000101 MEDLOG LOGISTICA</t>
  </si>
  <si>
    <t>RECEBIMENTO PIX 62544160268 Maria Jose da Silva</t>
  </si>
  <si>
    <t>RECEBIMENTO PIX 48029440120 TAISSA TORMIN MUNDIM</t>
  </si>
  <si>
    <t>RECEBIMENTO PIX 33322317000101 SUPORTE SANTOS</t>
  </si>
  <si>
    <t>RECEBIMENTO PIX ***920041** JULIANA PERILLO M DE</t>
  </si>
  <si>
    <t>CX965998</t>
  </si>
  <si>
    <t>PIX BANCO SICREDI - AMPLA CONTABILIDADE -AGOSTO DE 2025</t>
  </si>
  <si>
    <t>RECEBIMENTO PIX 05459541000104 Quick Import</t>
  </si>
  <si>
    <t>IRPF 2025 - HUGO</t>
  </si>
  <si>
    <t>PAGTO HONORARIO 05 -06-07/2025 VR CONSULTORIA</t>
  </si>
  <si>
    <t>RECEBIMENTO PIX ***927001** GEORGIA OLIVEIRA ADR</t>
  </si>
  <si>
    <t>CONSTITUIÇÃO DA EMPRESA</t>
  </si>
  <si>
    <t>RECEBIMENTO PIX ***579552** TATIANE COELHO QUARE</t>
  </si>
  <si>
    <t>RECEBIMENTO PIX ***295801** LIZA RODRIGUES RORIZ</t>
  </si>
  <si>
    <t>RECEBIMENTO PIX ***558951** ANNA CAROLINA M R S</t>
  </si>
  <si>
    <t>PAGT HONORARIO MÊS 07/2025 CARVALHO E MELO - SR NEILA</t>
  </si>
  <si>
    <t>RECEBIMENTO PIX 12100476000183 M L PINHEIRO MILA</t>
  </si>
  <si>
    <t>ALTERAÇÃO DA EMPRESA CDC PLAY E ESTAÇÃO ALEGRIA</t>
  </si>
  <si>
    <t>HONORAIO DE JUNHO/25 CARRO DE OURO</t>
  </si>
  <si>
    <t>ALTERAÇÃO DE SOCIO DE ANGE E D ANGE2</t>
  </si>
  <si>
    <t>RECEBIMENTO PIX 48656488104 Sergio Carneiro Leao</t>
  </si>
  <si>
    <t>PAGT HONORARIO  CENTRO MEDICO MILHOMEM</t>
  </si>
  <si>
    <t>PIX BANCO SICREDI - AMPLA CONTABILIDADE -SETEMBRO DE 2025</t>
  </si>
  <si>
    <t>RECEBIMENTO PIX 70542155168 Kamilla Geaninne Pir</t>
  </si>
  <si>
    <t>BAIXA DA EMPRESA GEANINNE AGROPECUARIA</t>
  </si>
  <si>
    <t>ALTERAÇÃO DE SOCIO CDC OLIVEIRA</t>
  </si>
  <si>
    <t>RECEBIMENTO PIX 49855659000119 BCS MINAS SERVICO</t>
  </si>
  <si>
    <t>PAGT DE HONORARIO DIVERSAS EMPRESAS GRUPO</t>
  </si>
  <si>
    <t>PAGT DE HONORARIO MÊS 07-2025 CARRO DE OURO E OURO CAR</t>
  </si>
  <si>
    <t>RECEBIMENTO PIX 02969278642 JACQUELINE ADRIANO</t>
  </si>
  <si>
    <t>HONORARIO DE ACERTO DO GRUPO</t>
  </si>
  <si>
    <t>HONORARIO CAGI TODA SEGUNDA FEIRA</t>
  </si>
  <si>
    <t>ACERTO DO HONORARIO CENTRO MEDICO MILHOMEM E PM ADM</t>
  </si>
  <si>
    <t>HONORARIO DE ACERTO GRUPO DR BERNARDO</t>
  </si>
  <si>
    <t>RECEBIMENTO PIX 18640823000147 KROVER ENGENHARIA</t>
  </si>
  <si>
    <t xml:space="preserve">BAIXA DA EMPRESA HOKMA </t>
  </si>
  <si>
    <t>BAIXA DA EMPESA HOKMA</t>
  </si>
  <si>
    <t>RECEBIMENTO PIX 23270497172 Valdeli Costa Ferrei</t>
  </si>
  <si>
    <t>LIBERAÇÃO DE ALVARA SANITARIO E FUNCIONAMENTO</t>
  </si>
  <si>
    <t>HONORARIO DA PM ADM E CENTRO MEDICO</t>
  </si>
  <si>
    <t>RECEBIMENTO PIX 28433562886 ALAN IBRAHIM CHEHADE</t>
  </si>
  <si>
    <t>HONORARIO DE JULHO 2025 DA EMPRESA FFA</t>
  </si>
  <si>
    <t>RECEBIMENTO PIX 13744217000158 L.F. GONCALVES CO</t>
  </si>
  <si>
    <t>ALTERAÇÃO DE ENDEREÇO DA NOVA LOCAÇÃO</t>
  </si>
  <si>
    <t>RECEBIMENTO PIX 03832285000115 AMPLA CONTABILIDA</t>
  </si>
  <si>
    <t>ITR 2025 DE DUAS FAZENDA ADMIR</t>
  </si>
  <si>
    <t>RECEBIMENTO PIX ***141991** PAULO MICHEL PEREIRA</t>
  </si>
  <si>
    <t>ALTERAÇÃO DE SOCIO DA EMPRESA RODRIGUES E RODRIGUES AGRO</t>
  </si>
  <si>
    <t>PIX BANCO SICREDI - AMPLA CONTABILIDADE -OUTUBRO DE 2025</t>
  </si>
  <si>
    <t>RECEBIMENTO PIX 36046644000168 DR BERNARDO GUIMA</t>
  </si>
  <si>
    <t xml:space="preserve">HONORARIO SEMANAL DA CAGI </t>
  </si>
  <si>
    <t>RECEBIMENTO PIX ***199641** WILLIAM BONIFACIO PE</t>
  </si>
  <si>
    <t>HONORARIO DO MÊS 08-2025 AMAGU FESTAS</t>
  </si>
  <si>
    <t>ALTERAÇÃO DE SOCIO A.I EMPREENDIMENTOS</t>
  </si>
  <si>
    <t>ALTERAÇÃO DE SOCIO</t>
  </si>
  <si>
    <t>RECEBIMENTO PIX 75212633168 VICTOR HUGO DE OLIVE</t>
  </si>
  <si>
    <t>RECEBIMENTO PIX 03832285000115 SCALA CONTABILIDA</t>
  </si>
  <si>
    <t>HONORARIO FFA PARTICIPAÇÕES LTDA</t>
  </si>
  <si>
    <t>RECEBIMENTO PIX 02678916000120 TOCA DO LEAO SERV</t>
  </si>
  <si>
    <t>IRPF 2025-2024 GABRIELA CHAER</t>
  </si>
  <si>
    <t>RECEBIMENTO PIX 81129580172 LIZA RODRIGUES RORIZ</t>
  </si>
  <si>
    <t>HONORARIO 09-2025 - MEDITERRANE</t>
  </si>
  <si>
    <t xml:space="preserve">HONORARIO 09/2025 CARRO DE OURO E OURO CAR </t>
  </si>
  <si>
    <t>HONORARIO DA VR CONSULTORIA MÊS 04-08-09 DE 2025</t>
  </si>
  <si>
    <t>PIX BANCO SICREDI - AMPLA CONTABILIDADE -NOVEMBRO DE 2025</t>
  </si>
  <si>
    <t>PAGT HONORARIO SEMANALMENTE 1 DE 4 CAGI</t>
  </si>
  <si>
    <t>RECEBIMENTO PIX 70154700126 WILSON LUCAS MARINHO</t>
  </si>
  <si>
    <t>IRPF 2025-2024 WILSON  - BARBEIRO</t>
  </si>
  <si>
    <t>RECEBIMENTO PIX 33035671000147 MARCUS VINICIUS L</t>
  </si>
  <si>
    <t>HONORARIO OUTUBRO 25 MARCUS VINICIUS MEI</t>
  </si>
  <si>
    <t>RECEBIMENTO PIX 00259823112 GERALDO MOREIRA PEIX</t>
  </si>
  <si>
    <t>RECEBIMENTO PIX 31092004149 JULIANA PERILLO MAGA</t>
  </si>
  <si>
    <t>HONORARIO MAIO/20255 JPL AGROPECUARIA</t>
  </si>
  <si>
    <t>HONORARIO OUTUBRO/2025  LAR CONSTRUTORA</t>
  </si>
  <si>
    <t>RECEBIMENTO PIX 31319248000143 COVALE USINAGEM I</t>
  </si>
  <si>
    <t>HONORARIO DE ABRIL DE 2025 COVALE</t>
  </si>
  <si>
    <t>RECEBIMENTO PIX 40888507000148 AMAGU FESTAS LTDA</t>
  </si>
  <si>
    <t>HONORARIO OUTUBRO/2025 AMAGU FESTAS</t>
  </si>
  <si>
    <t>RECEBIMENTO PIX 37458027000132 JOHNANTHAN MACHAD</t>
  </si>
  <si>
    <t>HONORARIO  MÊS OUTUBRO DE 2025 JOHNANTAHAN</t>
  </si>
  <si>
    <t>0/11/2025</t>
  </si>
  <si>
    <t>HONORARIO SEMANAL CAGI-PA E A.I EMPREENDIMENTO</t>
  </si>
  <si>
    <t>RECEBIMENTO PIX 11571144000114 POLIMAX BRASIL</t>
  </si>
  <si>
    <t>HONORARIO DE 07-08-09-10 DE 2025 MARIAH PARTICIPAÇÕES</t>
  </si>
  <si>
    <t>SERVIÇO DA LEGALIZAÇÃO</t>
  </si>
  <si>
    <t>HONORARIO  DE 07/2025 JPL AGROPECUARIA</t>
  </si>
  <si>
    <t>HONORARIO 05/2025 MONICA TEIXEIRA MEI</t>
  </si>
  <si>
    <t>RECEBIMENTO PIX 86792113115 NELMA MOREIRA PEIXOT</t>
  </si>
  <si>
    <t>RECEBIMENTO PIX 18841392134 DINAHI AFONSO DE CAM</t>
  </si>
  <si>
    <t>PAGT HONORARIO MÊS 09/2025 FFA PARTICIPAÇÕES</t>
  </si>
  <si>
    <t>RECEBIMENTO PIX 40624113000182 NUTRYMED I F A LT</t>
  </si>
  <si>
    <t>PAGT HONORARIO MÊS 09 E 10 2025 NUTRYMED</t>
  </si>
  <si>
    <t>PIX BANCO SICREDI - AMPLA CONTABILIDADE -DEZEMBRO DE 2025</t>
  </si>
  <si>
    <t>RECEBIMENTO PIX 78454115153 HUGO F CUNHA</t>
  </si>
  <si>
    <t>PAGT HONORARIO OUTUBRO/2025 QUICK COMERCIO</t>
  </si>
  <si>
    <t>PAGT HONORARIO OUTUBRO/2025 VR CONSULTORIA</t>
  </si>
  <si>
    <t>PAGT HONORARIO OUTUBRO/25 CARRO DE OURO E OURO CAR</t>
  </si>
  <si>
    <t>RECEBIMENTO PIX 98737074172 ERICO DINIZ CARVALHO</t>
  </si>
  <si>
    <t>CONSTITUIÇÃO NOVA EMPRESA</t>
  </si>
  <si>
    <t>RECEBIMENTO PIX 55116291000170 R&amp;P AVIACAO COMER</t>
  </si>
  <si>
    <t>ALTERAÇÃO DE SOCIO R&amp;P AVIAÇÃO</t>
  </si>
  <si>
    <t xml:space="preserve">PAGT HONORARIO NOVEMBRO/2025 ADMIR DE OLIVEIRA ALVES </t>
  </si>
  <si>
    <t>PAGT HONORARIO NOVEMBRO DE 2025- EMPRESA JOHNANTHAN</t>
  </si>
  <si>
    <t>PAGT HONORARIO NOVEMBRO DE 2025 - KROVER</t>
  </si>
  <si>
    <t>ALTERAÇÃO DE OBJETIVO MEDLOG</t>
  </si>
  <si>
    <t>PAGT HONORARIO DE AGOSTO/2025 JPL AGOPECUARIA</t>
  </si>
  <si>
    <t>RECEBIMENTO PIX 63874672000146 GOMES E MOREIRA A</t>
  </si>
  <si>
    <t>RECEBIMENTO PIX 48609706168 CHRISTIANE CAETANO</t>
  </si>
  <si>
    <t>PAGT REFERENTE A 2º  E ULTIMA PARCELA DO PROCESSO RUBENS CAETANO</t>
  </si>
  <si>
    <t>RECEBIMENTO PIX 62435196000102 MEDITERRANE SERVI</t>
  </si>
  <si>
    <t>PAGT HONORARIO NOVEMBRO 2025 MEDITERRANE</t>
  </si>
  <si>
    <t>RECEBIMENTO PIX 35773375000179 FE CONSULTORIA JU</t>
  </si>
  <si>
    <t>PAGT HONORARIO NOVEMBRO 2025 VR CONSULTORIA</t>
  </si>
  <si>
    <t>PAGT HONORARIO OUTUBRO DE 2025 FFA PARTICIPAÇÕES</t>
  </si>
  <si>
    <t>RECEBIMENTO PIX 43313158000124 RIO V S VISTORIAS</t>
  </si>
  <si>
    <t>PAGT HONORARIO DE NOVEMBRO 2025 ESTPETINHO NOTA 10</t>
  </si>
  <si>
    <t>RECEBIMENTO PIX 59019964100 WILLIAM BONIFACIO PE</t>
  </si>
  <si>
    <t>PAGT HONORARIO DE 13º AMAGU FESTAS</t>
  </si>
  <si>
    <t>PAGT HONORARIO DE 13º ALLIANCE</t>
  </si>
  <si>
    <t>RECEBIMENTO PIX 20602312000182 PLX INDUSTRIA E C</t>
  </si>
  <si>
    <t>CONSTITUIÇÃO NOVA EMPRESA DA POLIMAX</t>
  </si>
  <si>
    <t>RECEBIMENTO PIX 10481804000103 PET SHOP E CAOPAN</t>
  </si>
  <si>
    <t>ALTERAÇÃO DE ENDEREÇO DA EMPREA PET SHOP</t>
  </si>
  <si>
    <t>RECEBIMENTO PIX 61422543000191 ACAI DO MADRUGA C</t>
  </si>
  <si>
    <t>PAGT HONORARIO DE 13º MEDITERRANE</t>
  </si>
  <si>
    <t>Canal Pet</t>
  </si>
  <si>
    <t>A I Empreendimentos</t>
  </si>
  <si>
    <t>Action Soluções</t>
  </si>
  <si>
    <t>JPL</t>
  </si>
  <si>
    <t>Mata Pragas</t>
  </si>
  <si>
    <t>ECD, Verdi e Cristal</t>
  </si>
  <si>
    <t>Conta da mesma titularidade</t>
  </si>
  <si>
    <t>Ampla Saude</t>
  </si>
  <si>
    <t>MG Mecanica</t>
  </si>
  <si>
    <t>JJC</t>
  </si>
  <si>
    <t>VR Consultoria</t>
  </si>
  <si>
    <t>Carro de ouro e Ouro Car</t>
  </si>
  <si>
    <t>Mariah</t>
  </si>
  <si>
    <t>Centro Oeste</t>
  </si>
  <si>
    <t>Anapolis Vistoria</t>
  </si>
  <si>
    <t>TAYLANE PAG DE JUROS</t>
  </si>
  <si>
    <t>Ipe Comercio</t>
  </si>
  <si>
    <t>Lajes Nunes</t>
  </si>
  <si>
    <t>Livre Vistoria</t>
  </si>
  <si>
    <t>CDC Playground</t>
  </si>
  <si>
    <t>M.M Lanches e Ramayoli</t>
  </si>
  <si>
    <t>Del Papa</t>
  </si>
  <si>
    <t>Solo Comercio</t>
  </si>
  <si>
    <t>Emilia Goncalves</t>
  </si>
  <si>
    <t>Monica Leal</t>
  </si>
  <si>
    <t>Nayara Filha</t>
  </si>
  <si>
    <t>Contronweb</t>
  </si>
  <si>
    <t>Sharksapace</t>
  </si>
  <si>
    <t>Star Emporio</t>
  </si>
  <si>
    <t>Action Solucoes</t>
  </si>
  <si>
    <t>Carro de ouro e ouro car</t>
  </si>
  <si>
    <t>Mineração Serrano</t>
  </si>
  <si>
    <t>IRPF</t>
  </si>
  <si>
    <t>Iron Build</t>
  </si>
  <si>
    <t>Del papa</t>
  </si>
  <si>
    <t>Medlog</t>
  </si>
  <si>
    <t>Amagu ou Sharksapace</t>
  </si>
  <si>
    <t>Mundim AS</t>
  </si>
  <si>
    <t>JJC Prestadora</t>
  </si>
  <si>
    <t>LF Goncalves</t>
  </si>
  <si>
    <t>BCS Minas</t>
  </si>
  <si>
    <t>Victor Hugo filho</t>
  </si>
  <si>
    <t>Taylane juros e multas</t>
  </si>
  <si>
    <t>Toca do Leao</t>
  </si>
  <si>
    <t>A i empreendimentos</t>
  </si>
  <si>
    <t>Ai empreendimentos</t>
  </si>
  <si>
    <t>HONORARIO JPL</t>
  </si>
  <si>
    <t>Polimax</t>
  </si>
  <si>
    <t>Da mesma titularidade</t>
  </si>
  <si>
    <t>Gomes e Moreira</t>
  </si>
  <si>
    <t>Fe consultoria</t>
  </si>
  <si>
    <t>Rio verde vistoria</t>
  </si>
  <si>
    <t>Valdeci MEI do Victor</t>
  </si>
  <si>
    <t>Açai do madruga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</si>
</sst>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666666"/>
      <name val="Arial"/>
      <family val="2"/>
    </font>
    <font>
      <sz val="8"/>
      <color rgb="FF007B32"/>
      <name val="Arial"/>
      <family val="2"/>
    </font>
    <font>
      <b/>
      <sz val="8"/>
      <color rgb="FF666666"/>
      <name val="Arial"/>
      <family val="2"/>
    </font>
    <font>
      <b/>
      <sz val="8"/>
      <color rgb="FF007B32"/>
      <name val="Arial"/>
      <family val="2"/>
    </font>
    <font>
      <sz val="11"/>
      <name val="Aptos"/>
      <family val="2"/>
    </font>
    <font>
      <sz val="8"/>
      <name val="Arial"/>
      <family val="2"/>
    </font>
    <font>
      <sz val="11"/>
      <color theme="1"/>
      <name val="Aptos"/>
      <family val="2"/>
    </font>
    <font>
      <b/>
      <sz val="12"/>
      <color rgb="FF666666"/>
      <name val="Font Awesome 6 Pro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E6E6E6"/>
      </top>
      <bottom/>
      <diagonal/>
    </border>
    <border>
      <left/>
      <right/>
      <top/>
      <bottom style="medium">
        <color rgb="FFE6E6E6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0">
    <xf numFmtId="0" fontId="0" fillId="0" borderId="0" xfId="0"/>
    <xf numFmtId="44" fontId="0" fillId="0" borderId="0" xfId="1" applyFont="1"/>
    <xf numFmtId="14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44" fontId="4" fillId="2" borderId="1" xfId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righ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4" fontId="4" fillId="3" borderId="1" xfId="1" applyFont="1" applyFill="1" applyBorder="1" applyAlignment="1">
      <alignment horizontal="right" vertical="center" wrapText="1"/>
    </xf>
    <xf numFmtId="0" fontId="0" fillId="0" borderId="1" xfId="0" applyBorder="1"/>
    <xf numFmtId="44" fontId="0" fillId="0" borderId="1" xfId="1" applyFont="1" applyBorder="1"/>
    <xf numFmtId="0" fontId="2" fillId="0" borderId="1" xfId="0" applyFont="1" applyBorder="1"/>
    <xf numFmtId="0" fontId="2" fillId="0" borderId="2" xfId="0" applyFont="1" applyBorder="1"/>
    <xf numFmtId="14" fontId="3" fillId="2" borderId="6" xfId="0" applyNumberFormat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0" fillId="0" borderId="10" xfId="0" applyBorder="1"/>
    <xf numFmtId="14" fontId="3" fillId="3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44" fontId="4" fillId="3" borderId="6" xfId="1" applyFont="1" applyFill="1" applyBorder="1" applyAlignment="1">
      <alignment horizontal="right" vertical="center" wrapText="1"/>
    </xf>
    <xf numFmtId="0" fontId="0" fillId="0" borderId="6" xfId="0" applyBorder="1"/>
    <xf numFmtId="4" fontId="4" fillId="3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0" fontId="3" fillId="3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12" xfId="0" applyFont="1" applyBorder="1"/>
    <xf numFmtId="14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44" fontId="6" fillId="3" borderId="1" xfId="1" applyFont="1" applyFill="1" applyBorder="1" applyAlignment="1">
      <alignment horizontal="right" vertical="center" wrapText="1"/>
    </xf>
    <xf numFmtId="14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4" fontId="4" fillId="4" borderId="1" xfId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44" fontId="4" fillId="5" borderId="1" xfId="1" applyFont="1" applyFill="1" applyBorder="1" applyAlignment="1">
      <alignment horizontal="right" vertical="center" wrapText="1"/>
    </xf>
    <xf numFmtId="44" fontId="4" fillId="2" borderId="6" xfId="1" applyFont="1" applyFill="1" applyBorder="1" applyAlignment="1">
      <alignment horizontal="right" vertical="center" wrapText="1"/>
    </xf>
    <xf numFmtId="14" fontId="3" fillId="3" borderId="11" xfId="0" applyNumberFormat="1" applyFont="1" applyFill="1" applyBorder="1" applyAlignment="1">
      <alignment horizontal="left" vertical="center" wrapText="1"/>
    </xf>
    <xf numFmtId="14" fontId="3" fillId="2" borderId="11" xfId="0" applyNumberFormat="1" applyFont="1" applyFill="1" applyBorder="1" applyAlignment="1">
      <alignment horizontal="left" vertical="center" wrapText="1"/>
    </xf>
    <xf numFmtId="14" fontId="3" fillId="2" borderId="13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" fontId="4" fillId="6" borderId="1" xfId="0" applyNumberFormat="1" applyFont="1" applyFill="1" applyBorder="1" applyAlignment="1">
      <alignment horizontal="right" vertical="center" wrapText="1"/>
    </xf>
    <xf numFmtId="0" fontId="0" fillId="6" borderId="1" xfId="0" applyFill="1" applyBorder="1"/>
    <xf numFmtId="0" fontId="8" fillId="2" borderId="1" xfId="0" applyFont="1" applyFill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44" fontId="4" fillId="6" borderId="1" xfId="1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44" fontId="4" fillId="7" borderId="1" xfId="1" applyFont="1" applyFill="1" applyBorder="1" applyAlignment="1">
      <alignment horizontal="right" vertical="center" wrapText="1"/>
    </xf>
    <xf numFmtId="4" fontId="7" fillId="7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14" fontId="3" fillId="7" borderId="14" xfId="0" applyNumberFormat="1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44" fontId="4" fillId="7" borderId="6" xfId="1" applyFont="1" applyFill="1" applyBorder="1" applyAlignment="1">
      <alignment horizontal="right" vertical="center" wrapText="1"/>
    </xf>
    <xf numFmtId="0" fontId="0" fillId="7" borderId="6" xfId="0" applyFill="1" applyBorder="1"/>
    <xf numFmtId="0" fontId="3" fillId="3" borderId="11" xfId="0" applyFont="1" applyFill="1" applyBorder="1" applyAlignment="1">
      <alignment horizontal="left" vertical="center" wrapText="1"/>
    </xf>
    <xf numFmtId="4" fontId="4" fillId="3" borderId="11" xfId="0" applyNumberFormat="1" applyFont="1" applyFill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4" fontId="4" fillId="2" borderId="11" xfId="0" applyNumberFormat="1" applyFont="1" applyFill="1" applyBorder="1" applyAlignment="1">
      <alignment horizontal="right" vertical="center" wrapText="1"/>
    </xf>
    <xf numFmtId="44" fontId="3" fillId="2" borderId="1" xfId="1" applyFont="1" applyFill="1" applyBorder="1" applyAlignment="1">
      <alignment horizontal="left" vertical="center" wrapText="1"/>
    </xf>
    <xf numFmtId="14" fontId="3" fillId="2" borderId="15" xfId="0" applyNumberFormat="1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right" vertical="center" wrapText="1"/>
    </xf>
    <xf numFmtId="44" fontId="3" fillId="3" borderId="1" xfId="1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0" fillId="7" borderId="1" xfId="0" applyFill="1" applyBorder="1"/>
    <xf numFmtId="14" fontId="3" fillId="0" borderId="1" xfId="0" applyNumberFormat="1" applyFont="1" applyBorder="1" applyAlignment="1">
      <alignment horizontal="left"/>
    </xf>
    <xf numFmtId="44" fontId="5" fillId="3" borderId="1" xfId="1" applyFont="1" applyFill="1" applyBorder="1" applyAlignment="1">
      <alignment horizontal="left" vertical="center" wrapText="1"/>
    </xf>
    <xf numFmtId="0" fontId="0" fillId="0" borderId="16" xfId="0" applyBorder="1"/>
    <xf numFmtId="14" fontId="3" fillId="8" borderId="1" xfId="0" applyNumberFormat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44" fontId="4" fillId="8" borderId="1" xfId="1" applyFont="1" applyFill="1" applyBorder="1" applyAlignment="1">
      <alignment horizontal="right" vertical="center" wrapText="1"/>
    </xf>
    <xf numFmtId="14" fontId="3" fillId="3" borderId="14" xfId="0" applyNumberFormat="1" applyFont="1" applyFill="1" applyBorder="1" applyAlignment="1">
      <alignment horizontal="left" vertical="center" wrapText="1"/>
    </xf>
    <xf numFmtId="14" fontId="3" fillId="9" borderId="1" xfId="0" applyNumberFormat="1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44" fontId="4" fillId="9" borderId="1" xfId="1" applyFont="1" applyFill="1" applyBorder="1" applyAlignment="1">
      <alignment horizontal="right" vertical="center" wrapText="1"/>
    </xf>
    <xf numFmtId="14" fontId="3" fillId="2" borderId="14" xfId="0" applyNumberFormat="1" applyFont="1" applyFill="1" applyBorder="1" applyAlignment="1">
      <alignment horizontal="left" vertical="center" wrapText="1"/>
    </xf>
    <xf numFmtId="0" fontId="0" fillId="0" borderId="12" xfId="0" applyBorder="1"/>
    <xf numFmtId="0" fontId="3" fillId="2" borderId="6" xfId="0" applyFont="1" applyFill="1" applyBorder="1" applyAlignment="1">
      <alignment horizontal="right" vertical="center" wrapText="1"/>
    </xf>
    <xf numFmtId="4" fontId="4" fillId="3" borderId="6" xfId="0" applyNumberFormat="1" applyFont="1" applyFill="1" applyBorder="1" applyAlignment="1">
      <alignment horizontal="right" vertical="center" wrapText="1"/>
    </xf>
    <xf numFmtId="14" fontId="3" fillId="10" borderId="1" xfId="0" applyNumberFormat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44" fontId="4" fillId="10" borderId="1" xfId="1" applyFont="1" applyFill="1" applyBorder="1" applyAlignment="1">
      <alignment horizontal="right" vertical="center" wrapText="1"/>
    </xf>
    <xf numFmtId="0" fontId="0" fillId="0" borderId="2" xfId="0" applyBorder="1"/>
    <xf numFmtId="44" fontId="0" fillId="0" borderId="2" xfId="1" applyFont="1" applyBorder="1"/>
    <xf numFmtId="0" fontId="10" fillId="3" borderId="11" xfId="0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right" vertical="center" wrapText="1"/>
    </xf>
    <xf numFmtId="0" fontId="11" fillId="0" borderId="1" xfId="0" applyFont="1" applyBorder="1"/>
    <xf numFmtId="0" fontId="5" fillId="2" borderId="1" xfId="0" applyFont="1" applyFill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14" fontId="3" fillId="11" borderId="1" xfId="0" applyNumberFormat="1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44" fontId="4" fillId="11" borderId="1" xfId="1" applyFont="1" applyFill="1" applyBorder="1" applyAlignment="1">
      <alignment horizontal="righ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/>
    </xf>
    <xf numFmtId="14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44" fontId="4" fillId="3" borderId="2" xfId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875A-350C-4B6A-8B7C-1E2FBA053F14}">
  <dimension ref="A1:E120"/>
  <sheetViews>
    <sheetView tabSelected="1" zoomScale="107" zoomScaleNormal="220" workbookViewId="0">
      <selection activeCell="E13" sqref="E13"/>
    </sheetView>
  </sheetViews>
  <sheetFormatPr defaultRowHeight="15"/>
  <cols>
    <col min="1" max="1" width="8.7109375" bestFit="1" customWidth="1"/>
    <col min="2" max="2" width="46.7109375" customWidth="1"/>
    <col min="4" max="4" width="15.42578125" customWidth="1"/>
    <col min="5" max="5" width="33.5703125" customWidth="1"/>
  </cols>
  <sheetData>
    <row r="1" spans="1:5" ht="15.75" thickBot="1">
      <c r="A1" s="104" t="s">
        <v>0</v>
      </c>
      <c r="B1" s="105"/>
      <c r="C1" s="105"/>
      <c r="D1" s="105"/>
      <c r="E1" s="106"/>
    </row>
    <row r="2" spans="1:5">
      <c r="A2" s="27" t="s">
        <v>1</v>
      </c>
      <c r="B2" s="27" t="s">
        <v>2</v>
      </c>
      <c r="C2" s="27"/>
      <c r="D2" s="27" t="s">
        <v>3</v>
      </c>
      <c r="E2" s="12" t="s">
        <v>4</v>
      </c>
    </row>
    <row r="3" spans="1:5">
      <c r="A3" s="2">
        <v>45660</v>
      </c>
      <c r="B3" s="3" t="s">
        <v>5</v>
      </c>
      <c r="C3" s="3" t="s">
        <v>6</v>
      </c>
      <c r="D3" s="4">
        <v>200</v>
      </c>
      <c r="E3" s="5" t="s">
        <v>7</v>
      </c>
    </row>
    <row r="4" spans="1:5">
      <c r="A4" s="31">
        <v>45664</v>
      </c>
      <c r="B4" s="32" t="s">
        <v>8</v>
      </c>
      <c r="C4" s="32" t="s">
        <v>6</v>
      </c>
      <c r="D4" s="33">
        <v>70046.899999999994</v>
      </c>
      <c r="E4" s="9" t="s">
        <v>9</v>
      </c>
    </row>
    <row r="5" spans="1:5">
      <c r="A5" s="2">
        <v>45665</v>
      </c>
      <c r="B5" s="3" t="s">
        <v>10</v>
      </c>
      <c r="C5" s="3" t="s">
        <v>6</v>
      </c>
      <c r="D5" s="4">
        <v>2118</v>
      </c>
      <c r="E5" s="103" t="s">
        <v>231</v>
      </c>
    </row>
    <row r="6" spans="1:5">
      <c r="A6" s="2">
        <v>45665</v>
      </c>
      <c r="B6" s="3" t="s">
        <v>11</v>
      </c>
      <c r="C6" s="3" t="s">
        <v>12</v>
      </c>
      <c r="D6" s="4">
        <v>706</v>
      </c>
      <c r="E6" s="103" t="s">
        <v>208</v>
      </c>
    </row>
    <row r="7" spans="1:5">
      <c r="A7" s="6">
        <v>45671</v>
      </c>
      <c r="B7" s="7" t="s">
        <v>13</v>
      </c>
      <c r="C7" s="7" t="s">
        <v>6</v>
      </c>
      <c r="D7" s="8">
        <v>375</v>
      </c>
      <c r="E7" s="103" t="s">
        <v>209</v>
      </c>
    </row>
    <row r="8" spans="1:5">
      <c r="A8" s="2">
        <v>45673</v>
      </c>
      <c r="B8" s="3" t="s">
        <v>10</v>
      </c>
      <c r="C8" s="3" t="s">
        <v>6</v>
      </c>
      <c r="D8" s="4">
        <v>2118</v>
      </c>
      <c r="E8" s="103" t="s">
        <v>231</v>
      </c>
    </row>
    <row r="9" spans="1:5">
      <c r="A9" s="2">
        <v>45677</v>
      </c>
      <c r="B9" s="3" t="s">
        <v>13</v>
      </c>
      <c r="C9" s="3" t="s">
        <v>6</v>
      </c>
      <c r="D9" s="4">
        <v>375</v>
      </c>
      <c r="E9" s="103" t="s">
        <v>209</v>
      </c>
    </row>
    <row r="10" spans="1:5">
      <c r="A10" s="31">
        <v>45678</v>
      </c>
      <c r="B10" s="32" t="s">
        <v>8</v>
      </c>
      <c r="C10" s="32" t="s">
        <v>6</v>
      </c>
      <c r="D10" s="33">
        <v>74761.78</v>
      </c>
      <c r="E10" s="103" t="s">
        <v>210</v>
      </c>
    </row>
    <row r="11" spans="1:5">
      <c r="A11" s="73">
        <v>45679</v>
      </c>
      <c r="B11" s="74" t="s">
        <v>14</v>
      </c>
      <c r="C11" s="74" t="s">
        <v>6</v>
      </c>
      <c r="D11" s="75">
        <v>4043.05</v>
      </c>
      <c r="E11" s="103" t="s">
        <v>211</v>
      </c>
    </row>
    <row r="12" spans="1:5">
      <c r="A12" s="2">
        <v>45684</v>
      </c>
      <c r="B12" s="3" t="s">
        <v>13</v>
      </c>
      <c r="C12" s="3" t="s">
        <v>6</v>
      </c>
      <c r="D12" s="4">
        <v>375</v>
      </c>
      <c r="E12" s="103" t="s">
        <v>209</v>
      </c>
    </row>
    <row r="13" spans="1:5">
      <c r="A13" s="31">
        <v>45684</v>
      </c>
      <c r="B13" s="32" t="s">
        <v>15</v>
      </c>
      <c r="C13" s="32" t="s">
        <v>6</v>
      </c>
      <c r="D13" s="33">
        <v>29660.14</v>
      </c>
      <c r="E13" s="103" t="s">
        <v>212</v>
      </c>
    </row>
    <row r="14" spans="1:5">
      <c r="A14" s="77">
        <v>45685</v>
      </c>
      <c r="B14" s="78" t="s">
        <v>16</v>
      </c>
      <c r="C14" s="78" t="s">
        <v>6</v>
      </c>
      <c r="D14" s="79">
        <v>4000</v>
      </c>
      <c r="E14" s="103" t="s">
        <v>213</v>
      </c>
    </row>
    <row r="15" spans="1:5">
      <c r="A15" s="77">
        <v>45685</v>
      </c>
      <c r="B15" s="78" t="s">
        <v>16</v>
      </c>
      <c r="C15" s="78" t="s">
        <v>6</v>
      </c>
      <c r="D15" s="79">
        <v>1718.81</v>
      </c>
      <c r="E15" s="103" t="s">
        <v>213</v>
      </c>
    </row>
    <row r="16" spans="1:5">
      <c r="A16" s="2">
        <v>45686</v>
      </c>
      <c r="B16" s="3" t="s">
        <v>17</v>
      </c>
      <c r="C16" s="3" t="s">
        <v>6</v>
      </c>
      <c r="D16" s="4">
        <v>2826</v>
      </c>
      <c r="E16" s="103" t="s">
        <v>239</v>
      </c>
    </row>
    <row r="17" spans="1:5">
      <c r="A17" s="28" t="s">
        <v>18</v>
      </c>
      <c r="B17" s="29"/>
      <c r="C17" s="29"/>
      <c r="D17" s="30">
        <f>SUM(D3:D16)</f>
        <v>193323.68</v>
      </c>
      <c r="E17" s="103"/>
    </row>
    <row r="18" spans="1:5">
      <c r="A18" s="9"/>
      <c r="B18" s="9"/>
      <c r="C18" s="9"/>
      <c r="D18" s="10"/>
      <c r="E18" s="103"/>
    </row>
    <row r="19" spans="1:5">
      <c r="D19" s="1"/>
    </row>
    <row r="20" spans="1:5">
      <c r="D20" s="1"/>
    </row>
    <row r="21" spans="1:5">
      <c r="D21" s="1"/>
    </row>
    <row r="22" spans="1:5">
      <c r="D22" s="1"/>
    </row>
    <row r="23" spans="1:5">
      <c r="D23" s="1"/>
    </row>
    <row r="24" spans="1:5">
      <c r="D24" s="1"/>
    </row>
    <row r="25" spans="1:5">
      <c r="D25" s="1"/>
    </row>
    <row r="26" spans="1:5">
      <c r="D26" s="1"/>
    </row>
    <row r="27" spans="1:5">
      <c r="D27" s="1"/>
    </row>
    <row r="28" spans="1:5">
      <c r="D28" s="1"/>
    </row>
    <row r="29" spans="1:5">
      <c r="D29" s="1"/>
    </row>
    <row r="30" spans="1:5">
      <c r="D30" s="1"/>
    </row>
    <row r="31" spans="1:5">
      <c r="D31" s="1"/>
    </row>
    <row r="32" spans="1:5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6DC7-F02F-4BAD-BFF1-C63F9CA742AA}">
  <dimension ref="A1:E21"/>
  <sheetViews>
    <sheetView zoomScale="115" zoomScaleNormal="220" workbookViewId="0">
      <selection activeCell="E7" sqref="E7"/>
    </sheetView>
  </sheetViews>
  <sheetFormatPr defaultRowHeight="15"/>
  <cols>
    <col min="1" max="1" width="10.28515625" customWidth="1"/>
    <col min="2" max="2" width="43.7109375" customWidth="1"/>
    <col min="3" max="3" width="12.28515625" customWidth="1"/>
    <col min="4" max="4" width="15.140625" customWidth="1"/>
    <col min="5" max="5" width="28.140625" customWidth="1"/>
  </cols>
  <sheetData>
    <row r="1" spans="1:5">
      <c r="A1" s="107" t="s">
        <v>19</v>
      </c>
      <c r="B1" s="108"/>
      <c r="C1" s="108"/>
      <c r="D1" s="108"/>
      <c r="E1" s="109"/>
    </row>
    <row r="2" spans="1:5">
      <c r="A2" s="15" t="s">
        <v>1</v>
      </c>
      <c r="B2" s="15" t="s">
        <v>2</v>
      </c>
      <c r="C2" s="15"/>
      <c r="D2" s="15" t="s">
        <v>3</v>
      </c>
      <c r="E2" s="11" t="s">
        <v>4</v>
      </c>
    </row>
    <row r="3" spans="1:5">
      <c r="A3" s="2">
        <v>45691</v>
      </c>
      <c r="B3" s="3" t="s">
        <v>13</v>
      </c>
      <c r="C3" s="3" t="s">
        <v>6</v>
      </c>
      <c r="D3" s="4">
        <v>375</v>
      </c>
      <c r="E3" s="103" t="s">
        <v>209</v>
      </c>
    </row>
    <row r="4" spans="1:5">
      <c r="A4" s="3" t="s">
        <v>20</v>
      </c>
      <c r="B4" s="3" t="s">
        <v>21</v>
      </c>
      <c r="C4" s="3" t="s">
        <v>6</v>
      </c>
      <c r="D4" s="4">
        <v>20000</v>
      </c>
      <c r="E4" s="103" t="s">
        <v>214</v>
      </c>
    </row>
    <row r="5" spans="1:5">
      <c r="A5" s="6">
        <v>45698</v>
      </c>
      <c r="B5" s="7" t="s">
        <v>13</v>
      </c>
      <c r="C5" s="7" t="s">
        <v>6</v>
      </c>
      <c r="D5" s="8">
        <v>375</v>
      </c>
      <c r="E5" s="103" t="s">
        <v>209</v>
      </c>
    </row>
    <row r="6" spans="1:5">
      <c r="A6" s="73">
        <v>45702</v>
      </c>
      <c r="B6" s="74" t="s">
        <v>14</v>
      </c>
      <c r="C6" s="74" t="s">
        <v>6</v>
      </c>
      <c r="D6" s="75">
        <v>4043.25</v>
      </c>
      <c r="E6" s="103" t="s">
        <v>211</v>
      </c>
    </row>
    <row r="7" spans="1:5">
      <c r="A7" s="2">
        <v>45702</v>
      </c>
      <c r="B7" s="3" t="s">
        <v>23</v>
      </c>
      <c r="C7" s="3" t="s">
        <v>6</v>
      </c>
      <c r="D7" s="4">
        <v>2500</v>
      </c>
      <c r="E7" s="103"/>
    </row>
    <row r="8" spans="1:5">
      <c r="A8" s="2">
        <v>45705</v>
      </c>
      <c r="B8" s="3" t="s">
        <v>24</v>
      </c>
      <c r="C8" s="3" t="s">
        <v>6</v>
      </c>
      <c r="D8" s="4">
        <v>5000</v>
      </c>
      <c r="E8" s="103" t="s">
        <v>215</v>
      </c>
    </row>
    <row r="9" spans="1:5">
      <c r="A9" s="6">
        <v>45705</v>
      </c>
      <c r="B9" s="7" t="s">
        <v>13</v>
      </c>
      <c r="C9" s="7" t="s">
        <v>6</v>
      </c>
      <c r="D9" s="8">
        <v>375</v>
      </c>
      <c r="E9" s="103" t="s">
        <v>209</v>
      </c>
    </row>
    <row r="10" spans="1:5">
      <c r="A10" s="6">
        <v>45706</v>
      </c>
      <c r="B10" s="7" t="s">
        <v>10</v>
      </c>
      <c r="C10" s="7" t="s">
        <v>6</v>
      </c>
      <c r="D10" s="8">
        <v>2277</v>
      </c>
      <c r="E10" s="103" t="s">
        <v>231</v>
      </c>
    </row>
    <row r="11" spans="1:5">
      <c r="A11" s="2">
        <v>45706</v>
      </c>
      <c r="B11" s="3" t="s">
        <v>25</v>
      </c>
      <c r="C11" s="3" t="s">
        <v>6</v>
      </c>
      <c r="D11" s="4">
        <v>2323.8000000000002</v>
      </c>
      <c r="E11" s="103"/>
    </row>
    <row r="12" spans="1:5">
      <c r="A12" s="2">
        <v>45707</v>
      </c>
      <c r="B12" s="3" t="s">
        <v>24</v>
      </c>
      <c r="C12" s="3" t="s">
        <v>6</v>
      </c>
      <c r="D12" s="4">
        <v>5500</v>
      </c>
      <c r="E12" s="103" t="s">
        <v>215</v>
      </c>
    </row>
    <row r="13" spans="1:5">
      <c r="A13" s="2">
        <v>45708</v>
      </c>
      <c r="B13" s="3" t="s">
        <v>26</v>
      </c>
      <c r="C13" s="3" t="s">
        <v>6</v>
      </c>
      <c r="D13" s="4">
        <v>3500</v>
      </c>
      <c r="E13" s="103" t="s">
        <v>221</v>
      </c>
    </row>
    <row r="14" spans="1:5">
      <c r="A14" s="7" t="s">
        <v>20</v>
      </c>
      <c r="B14" s="7" t="s">
        <v>27</v>
      </c>
      <c r="C14" s="7" t="s">
        <v>6</v>
      </c>
      <c r="D14" s="8">
        <v>1500</v>
      </c>
      <c r="E14" s="103" t="s">
        <v>222</v>
      </c>
    </row>
    <row r="15" spans="1:5">
      <c r="A15" s="6">
        <v>45708</v>
      </c>
      <c r="B15" s="7" t="s">
        <v>24</v>
      </c>
      <c r="C15" s="7" t="s">
        <v>6</v>
      </c>
      <c r="D15" s="8">
        <v>283.8</v>
      </c>
      <c r="E15" s="103" t="s">
        <v>215</v>
      </c>
    </row>
    <row r="16" spans="1:5">
      <c r="A16" s="2">
        <v>45708</v>
      </c>
      <c r="B16" s="3" t="s">
        <v>24</v>
      </c>
      <c r="C16" s="3" t="s">
        <v>6</v>
      </c>
      <c r="D16" s="4">
        <v>240.1</v>
      </c>
      <c r="E16" s="103" t="s">
        <v>215</v>
      </c>
    </row>
    <row r="17" spans="1:5">
      <c r="A17" s="2">
        <v>45712</v>
      </c>
      <c r="B17" s="3" t="s">
        <v>13</v>
      </c>
      <c r="C17" s="3" t="s">
        <v>6</v>
      </c>
      <c r="D17" s="4">
        <v>375</v>
      </c>
      <c r="E17" s="103" t="s">
        <v>209</v>
      </c>
    </row>
    <row r="18" spans="1:5">
      <c r="A18" s="6">
        <v>45716</v>
      </c>
      <c r="B18" s="7" t="s">
        <v>14</v>
      </c>
      <c r="C18" s="7" t="s">
        <v>6</v>
      </c>
      <c r="D18" s="8">
        <v>4043.05</v>
      </c>
      <c r="E18" s="103" t="s">
        <v>211</v>
      </c>
    </row>
    <row r="19" spans="1:5">
      <c r="A19" s="2">
        <v>45716</v>
      </c>
      <c r="B19" s="3" t="s">
        <v>14</v>
      </c>
      <c r="C19" s="3" t="s">
        <v>6</v>
      </c>
      <c r="D19" s="4">
        <v>303.25</v>
      </c>
      <c r="E19" s="103" t="s">
        <v>211</v>
      </c>
    </row>
    <row r="20" spans="1:5">
      <c r="A20" s="6">
        <v>45716</v>
      </c>
      <c r="B20" s="7" t="s">
        <v>21</v>
      </c>
      <c r="C20" s="7" t="s">
        <v>6</v>
      </c>
      <c r="D20" s="8">
        <v>10000</v>
      </c>
      <c r="E20" s="103" t="s">
        <v>214</v>
      </c>
    </row>
    <row r="21" spans="1:5">
      <c r="A21" s="9" t="s">
        <v>18</v>
      </c>
      <c r="B21" s="9"/>
      <c r="C21" s="9"/>
      <c r="D21" s="10">
        <f>SUM(D3:D20)</f>
        <v>63014.250000000007</v>
      </c>
      <c r="E21" s="103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4377-D7D1-47A0-A158-746950D7F1C6}">
  <dimension ref="A1:E26"/>
  <sheetViews>
    <sheetView zoomScale="119" zoomScaleNormal="235" workbookViewId="0">
      <selection activeCell="E8" sqref="E8"/>
    </sheetView>
  </sheetViews>
  <sheetFormatPr defaultRowHeight="15"/>
  <cols>
    <col min="1" max="1" width="10.85546875" customWidth="1"/>
    <col min="2" max="2" width="45.85546875" customWidth="1"/>
    <col min="4" max="4" width="14.42578125" customWidth="1"/>
    <col min="5" max="5" width="21.5703125" customWidth="1"/>
  </cols>
  <sheetData>
    <row r="1" spans="1:5">
      <c r="A1" s="107" t="s">
        <v>28</v>
      </c>
      <c r="B1" s="108"/>
      <c r="C1" s="108"/>
      <c r="D1" s="108"/>
      <c r="E1" s="109"/>
    </row>
    <row r="2" spans="1:5">
      <c r="A2" s="15" t="s">
        <v>1</v>
      </c>
      <c r="B2" s="15" t="s">
        <v>2</v>
      </c>
      <c r="C2" s="15"/>
      <c r="D2" s="15" t="s">
        <v>3</v>
      </c>
      <c r="E2" s="15" t="s">
        <v>4</v>
      </c>
    </row>
    <row r="3" spans="1:5">
      <c r="A3" s="6">
        <v>45721</v>
      </c>
      <c r="B3" s="7" t="s">
        <v>21</v>
      </c>
      <c r="C3" s="7" t="s">
        <v>6</v>
      </c>
      <c r="D3" s="8">
        <v>10000</v>
      </c>
      <c r="E3" s="103" t="s">
        <v>214</v>
      </c>
    </row>
    <row r="4" spans="1:5">
      <c r="A4" s="6">
        <v>45726</v>
      </c>
      <c r="B4" s="7" t="s">
        <v>21</v>
      </c>
      <c r="C4" s="7" t="s">
        <v>6</v>
      </c>
      <c r="D4" s="8">
        <v>35000</v>
      </c>
      <c r="E4" s="103" t="s">
        <v>214</v>
      </c>
    </row>
    <row r="5" spans="1:5">
      <c r="A5" s="2">
        <v>45726</v>
      </c>
      <c r="B5" s="3" t="s">
        <v>13</v>
      </c>
      <c r="C5" s="3" t="s">
        <v>6</v>
      </c>
      <c r="D5" s="4">
        <v>375</v>
      </c>
      <c r="E5" s="103" t="s">
        <v>209</v>
      </c>
    </row>
    <row r="6" spans="1:5">
      <c r="A6" s="6">
        <v>45727</v>
      </c>
      <c r="B6" s="7" t="s">
        <v>24</v>
      </c>
      <c r="C6" s="7" t="s">
        <v>6</v>
      </c>
      <c r="D6" s="8">
        <v>500</v>
      </c>
      <c r="E6" s="103" t="s">
        <v>215</v>
      </c>
    </row>
    <row r="7" spans="1:5">
      <c r="A7" s="2">
        <v>45728</v>
      </c>
      <c r="B7" s="3" t="s">
        <v>29</v>
      </c>
      <c r="C7" s="3" t="s">
        <v>6</v>
      </c>
      <c r="D7" s="4">
        <v>150000</v>
      </c>
      <c r="E7" s="103" t="s">
        <v>220</v>
      </c>
    </row>
    <row r="8" spans="1:5">
      <c r="A8" s="2">
        <v>45729</v>
      </c>
      <c r="B8" s="3" t="s">
        <v>23</v>
      </c>
      <c r="C8" s="3" t="s">
        <v>6</v>
      </c>
      <c r="D8" s="4">
        <v>400</v>
      </c>
      <c r="E8" s="103"/>
    </row>
    <row r="9" spans="1:5">
      <c r="A9" s="84">
        <v>45733</v>
      </c>
      <c r="B9" s="85" t="s">
        <v>30</v>
      </c>
      <c r="C9" s="85" t="s">
        <v>6</v>
      </c>
      <c r="D9" s="86">
        <v>1889.59</v>
      </c>
      <c r="E9" s="103" t="s">
        <v>216</v>
      </c>
    </row>
    <row r="10" spans="1:5">
      <c r="A10" s="84">
        <v>45733</v>
      </c>
      <c r="B10" s="85" t="s">
        <v>30</v>
      </c>
      <c r="C10" s="85" t="s">
        <v>6</v>
      </c>
      <c r="D10" s="86">
        <v>1889.59</v>
      </c>
      <c r="E10" s="103" t="s">
        <v>216</v>
      </c>
    </row>
    <row r="11" spans="1:5">
      <c r="A11" s="2">
        <v>45733</v>
      </c>
      <c r="B11" s="3" t="s">
        <v>13</v>
      </c>
      <c r="C11" s="3" t="s">
        <v>6</v>
      </c>
      <c r="D11" s="4">
        <v>375</v>
      </c>
      <c r="E11" s="103" t="s">
        <v>209</v>
      </c>
    </row>
    <row r="12" spans="1:5">
      <c r="A12" s="6">
        <v>45734</v>
      </c>
      <c r="B12" s="7" t="s">
        <v>31</v>
      </c>
      <c r="C12" s="7" t="s">
        <v>6</v>
      </c>
      <c r="D12" s="8">
        <v>46653.599999999999</v>
      </c>
      <c r="E12" s="103" t="s">
        <v>217</v>
      </c>
    </row>
    <row r="13" spans="1:5">
      <c r="A13" s="6">
        <v>45736</v>
      </c>
      <c r="B13" s="7" t="s">
        <v>24</v>
      </c>
      <c r="C13" s="7" t="s">
        <v>6</v>
      </c>
      <c r="D13" s="8">
        <v>423.94</v>
      </c>
      <c r="E13" s="103" t="s">
        <v>215</v>
      </c>
    </row>
    <row r="14" spans="1:5">
      <c r="A14" s="2">
        <v>45736</v>
      </c>
      <c r="B14" s="3" t="s">
        <v>24</v>
      </c>
      <c r="C14" s="3" t="s">
        <v>6</v>
      </c>
      <c r="D14" s="4">
        <v>345.32</v>
      </c>
      <c r="E14" s="103" t="s">
        <v>215</v>
      </c>
    </row>
    <row r="15" spans="1:5">
      <c r="A15" s="6">
        <v>45740</v>
      </c>
      <c r="B15" s="7" t="s">
        <v>24</v>
      </c>
      <c r="C15" s="7" t="s">
        <v>6</v>
      </c>
      <c r="D15" s="8">
        <v>90.1</v>
      </c>
      <c r="E15" s="103" t="s">
        <v>215</v>
      </c>
    </row>
    <row r="16" spans="1:5">
      <c r="A16" s="6">
        <v>45740</v>
      </c>
      <c r="B16" s="7" t="s">
        <v>13</v>
      </c>
      <c r="C16" s="7" t="s">
        <v>6</v>
      </c>
      <c r="D16" s="8">
        <v>375</v>
      </c>
      <c r="E16" s="103" t="s">
        <v>209</v>
      </c>
    </row>
    <row r="17" spans="1:5">
      <c r="A17" s="6">
        <v>45747</v>
      </c>
      <c r="B17" s="7" t="s">
        <v>13</v>
      </c>
      <c r="C17" s="7" t="s">
        <v>6</v>
      </c>
      <c r="D17" s="8">
        <v>375</v>
      </c>
      <c r="E17" s="103" t="s">
        <v>209</v>
      </c>
    </row>
    <row r="18" spans="1:5">
      <c r="A18" s="6" t="s">
        <v>18</v>
      </c>
      <c r="B18" s="7"/>
      <c r="C18" s="7"/>
      <c r="D18" s="8">
        <f>SUM(D3:D17)</f>
        <v>248692.14</v>
      </c>
      <c r="E18" s="103"/>
    </row>
    <row r="19" spans="1:5">
      <c r="A19" s="2"/>
      <c r="B19" s="3"/>
      <c r="C19" s="3"/>
      <c r="D19" s="4"/>
      <c r="E19" s="9"/>
    </row>
    <row r="20" spans="1:5">
      <c r="A20" s="6"/>
      <c r="B20" s="7"/>
      <c r="C20" s="7"/>
      <c r="D20" s="8"/>
      <c r="E20" s="9"/>
    </row>
    <row r="21" spans="1:5">
      <c r="A21" s="2"/>
      <c r="B21" s="3"/>
      <c r="C21" s="3"/>
      <c r="D21" s="4"/>
      <c r="E21" s="9"/>
    </row>
    <row r="22" spans="1:5">
      <c r="A22" s="6"/>
      <c r="B22" s="7"/>
      <c r="C22" s="7"/>
      <c r="D22" s="8"/>
      <c r="E22" s="9"/>
    </row>
    <row r="23" spans="1:5">
      <c r="A23" s="2"/>
      <c r="B23" s="3"/>
      <c r="C23" s="3"/>
      <c r="D23" s="4"/>
      <c r="E23" s="9"/>
    </row>
    <row r="24" spans="1:5">
      <c r="A24" s="2"/>
      <c r="B24" s="3"/>
      <c r="C24" s="3"/>
      <c r="D24" s="4"/>
      <c r="E24" s="9"/>
    </row>
    <row r="25" spans="1:5">
      <c r="A25" s="6"/>
      <c r="B25" s="7"/>
      <c r="C25" s="7"/>
      <c r="D25" s="8"/>
      <c r="E25" s="9"/>
    </row>
    <row r="26" spans="1:5">
      <c r="A26" s="9"/>
      <c r="B26" s="9"/>
      <c r="C26" s="9"/>
      <c r="D26" s="10"/>
      <c r="E26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29F0-5921-40B3-B079-B635F961B34A}">
  <dimension ref="A1:E29"/>
  <sheetViews>
    <sheetView zoomScale="89" zoomScaleNormal="220" workbookViewId="0">
      <selection activeCell="E23" sqref="E23"/>
    </sheetView>
  </sheetViews>
  <sheetFormatPr defaultRowHeight="15"/>
  <cols>
    <col min="2" max="2" width="45.85546875" customWidth="1"/>
    <col min="4" max="4" width="15" customWidth="1"/>
    <col min="5" max="5" width="50.42578125" customWidth="1"/>
    <col min="6" max="7" width="39" customWidth="1"/>
  </cols>
  <sheetData>
    <row r="1" spans="1:5">
      <c r="A1" s="107" t="s">
        <v>32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2">
        <v>45748</v>
      </c>
      <c r="B3" s="3" t="s">
        <v>29</v>
      </c>
      <c r="C3" s="3" t="s">
        <v>6</v>
      </c>
      <c r="D3" s="4">
        <v>60000</v>
      </c>
      <c r="E3" s="103" t="s">
        <v>220</v>
      </c>
    </row>
    <row r="4" spans="1:5">
      <c r="A4" s="6">
        <v>45754</v>
      </c>
      <c r="B4" s="7" t="s">
        <v>13</v>
      </c>
      <c r="C4" s="7" t="s">
        <v>6</v>
      </c>
      <c r="D4" s="8">
        <v>375</v>
      </c>
      <c r="E4" s="103" t="s">
        <v>209</v>
      </c>
    </row>
    <row r="5" spans="1:5">
      <c r="A5" s="2">
        <v>45756</v>
      </c>
      <c r="B5" s="3" t="s">
        <v>21</v>
      </c>
      <c r="C5" s="3" t="s">
        <v>6</v>
      </c>
      <c r="D5" s="4">
        <v>15000</v>
      </c>
      <c r="E5" s="103" t="s">
        <v>214</v>
      </c>
    </row>
    <row r="6" spans="1:5">
      <c r="A6" s="2">
        <v>45757</v>
      </c>
      <c r="B6" s="3" t="s">
        <v>33</v>
      </c>
      <c r="C6" s="3" t="s">
        <v>6</v>
      </c>
      <c r="D6" s="4">
        <v>919.95</v>
      </c>
      <c r="E6" s="103" t="s">
        <v>219</v>
      </c>
    </row>
    <row r="7" spans="1:5">
      <c r="A7" s="6">
        <v>45757</v>
      </c>
      <c r="B7" s="7" t="s">
        <v>34</v>
      </c>
      <c r="C7" s="7" t="s">
        <v>6</v>
      </c>
      <c r="D7" s="8">
        <v>1000</v>
      </c>
      <c r="E7" s="9" t="s">
        <v>35</v>
      </c>
    </row>
    <row r="8" spans="1:5">
      <c r="A8" s="6">
        <v>45758</v>
      </c>
      <c r="B8" s="7" t="s">
        <v>29</v>
      </c>
      <c r="C8" s="7" t="s">
        <v>6</v>
      </c>
      <c r="D8" s="8">
        <v>60000</v>
      </c>
      <c r="E8" s="103" t="s">
        <v>220</v>
      </c>
    </row>
    <row r="9" spans="1:5">
      <c r="A9" s="6">
        <v>45761</v>
      </c>
      <c r="B9" s="7" t="s">
        <v>13</v>
      </c>
      <c r="C9" s="7" t="s">
        <v>6</v>
      </c>
      <c r="D9" s="8">
        <v>375</v>
      </c>
      <c r="E9" s="103" t="s">
        <v>209</v>
      </c>
    </row>
    <row r="10" spans="1:5">
      <c r="A10" s="2">
        <v>45764</v>
      </c>
      <c r="B10" s="3" t="s">
        <v>15</v>
      </c>
      <c r="C10" s="3" t="s">
        <v>6</v>
      </c>
      <c r="D10" s="4">
        <v>30067.52</v>
      </c>
      <c r="E10" s="103" t="s">
        <v>212</v>
      </c>
    </row>
    <row r="11" spans="1:5">
      <c r="A11" s="6">
        <v>45764</v>
      </c>
      <c r="B11" s="7" t="s">
        <v>30</v>
      </c>
      <c r="C11" s="7" t="s">
        <v>6</v>
      </c>
      <c r="D11" s="8">
        <v>20000</v>
      </c>
      <c r="E11" s="103" t="s">
        <v>216</v>
      </c>
    </row>
    <row r="12" spans="1:5">
      <c r="A12" s="6">
        <v>45769</v>
      </c>
      <c r="B12" s="7" t="s">
        <v>13</v>
      </c>
      <c r="C12" s="7" t="s">
        <v>6</v>
      </c>
      <c r="D12" s="8">
        <v>375</v>
      </c>
      <c r="E12" s="103" t="s">
        <v>209</v>
      </c>
    </row>
    <row r="13" spans="1:5">
      <c r="A13" s="2">
        <v>45769</v>
      </c>
      <c r="B13" s="3" t="s">
        <v>36</v>
      </c>
      <c r="C13" s="3" t="s">
        <v>6</v>
      </c>
      <c r="D13" s="4">
        <v>324</v>
      </c>
      <c r="E13" s="103" t="s">
        <v>218</v>
      </c>
    </row>
    <row r="14" spans="1:5">
      <c r="A14" s="6">
        <v>45769</v>
      </c>
      <c r="B14" s="7" t="s">
        <v>34</v>
      </c>
      <c r="C14" s="7" t="s">
        <v>6</v>
      </c>
      <c r="D14" s="8">
        <v>1000</v>
      </c>
      <c r="E14" s="35" t="s">
        <v>35</v>
      </c>
    </row>
    <row r="15" spans="1:5">
      <c r="A15" s="47">
        <v>45771</v>
      </c>
      <c r="B15" s="43" t="s">
        <v>8</v>
      </c>
      <c r="C15" s="43" t="s">
        <v>6</v>
      </c>
      <c r="D15" s="48">
        <v>1971.65</v>
      </c>
      <c r="E15" s="9" t="s">
        <v>37</v>
      </c>
    </row>
    <row r="16" spans="1:5">
      <c r="A16" s="2">
        <v>45772</v>
      </c>
      <c r="B16" s="3" t="s">
        <v>38</v>
      </c>
      <c r="C16" s="3" t="s">
        <v>6</v>
      </c>
      <c r="D16" s="4">
        <v>86.93</v>
      </c>
      <c r="E16" s="9" t="s">
        <v>223</v>
      </c>
    </row>
    <row r="17" spans="1:5">
      <c r="A17" s="6">
        <v>45775</v>
      </c>
      <c r="B17" s="7" t="s">
        <v>39</v>
      </c>
      <c r="C17" s="7" t="s">
        <v>6</v>
      </c>
      <c r="D17" s="8">
        <v>600</v>
      </c>
      <c r="E17" s="9" t="s">
        <v>40</v>
      </c>
    </row>
    <row r="18" spans="1:5">
      <c r="A18" s="2">
        <v>45775</v>
      </c>
      <c r="B18" s="3" t="s">
        <v>41</v>
      </c>
      <c r="C18" s="3" t="s">
        <v>6</v>
      </c>
      <c r="D18" s="4">
        <v>2655.06</v>
      </c>
      <c r="E18" s="9" t="s">
        <v>42</v>
      </c>
    </row>
    <row r="19" spans="1:5">
      <c r="A19" s="6">
        <v>45775</v>
      </c>
      <c r="B19" s="7" t="s">
        <v>13</v>
      </c>
      <c r="C19" s="7" t="s">
        <v>6</v>
      </c>
      <c r="D19" s="8">
        <v>375</v>
      </c>
      <c r="E19" s="9" t="s">
        <v>43</v>
      </c>
    </row>
    <row r="20" spans="1:5">
      <c r="A20" s="36">
        <v>45776</v>
      </c>
      <c r="B20" s="37" t="s">
        <v>14</v>
      </c>
      <c r="C20" s="37" t="s">
        <v>6</v>
      </c>
      <c r="D20" s="38">
        <v>4346.3</v>
      </c>
      <c r="E20" s="9" t="s">
        <v>44</v>
      </c>
    </row>
    <row r="21" spans="1:5">
      <c r="A21" s="6">
        <v>45776</v>
      </c>
      <c r="B21" s="7" t="s">
        <v>14</v>
      </c>
      <c r="C21" s="7" t="s">
        <v>6</v>
      </c>
      <c r="D21" s="8">
        <v>1200</v>
      </c>
      <c r="E21" s="9" t="s">
        <v>45</v>
      </c>
    </row>
    <row r="22" spans="1:5">
      <c r="A22" s="2">
        <v>45777</v>
      </c>
      <c r="B22" s="3" t="s">
        <v>46</v>
      </c>
      <c r="C22" s="3" t="s">
        <v>6</v>
      </c>
      <c r="D22" s="4">
        <v>300</v>
      </c>
      <c r="E22" s="9" t="s">
        <v>47</v>
      </c>
    </row>
    <row r="23" spans="1:5">
      <c r="A23" s="6">
        <v>45777</v>
      </c>
      <c r="B23" s="7" t="s">
        <v>48</v>
      </c>
      <c r="C23" s="7" t="s">
        <v>6</v>
      </c>
      <c r="D23" s="8">
        <v>1518</v>
      </c>
      <c r="E23" s="9" t="s">
        <v>35</v>
      </c>
    </row>
    <row r="24" spans="1:5">
      <c r="A24" s="6">
        <v>45757</v>
      </c>
      <c r="B24" s="7" t="s">
        <v>34</v>
      </c>
      <c r="C24" s="7" t="s">
        <v>6</v>
      </c>
      <c r="D24" s="8">
        <v>1000</v>
      </c>
      <c r="E24" s="9" t="s">
        <v>35</v>
      </c>
    </row>
    <row r="25" spans="1:5">
      <c r="A25" s="6">
        <v>45769</v>
      </c>
      <c r="B25" s="7" t="s">
        <v>34</v>
      </c>
      <c r="C25" s="7" t="s">
        <v>6</v>
      </c>
      <c r="D25" s="8">
        <v>1000</v>
      </c>
      <c r="E25" s="35" t="s">
        <v>35</v>
      </c>
    </row>
    <row r="26" spans="1:5">
      <c r="A26" s="6">
        <v>45775</v>
      </c>
      <c r="B26" s="7" t="s">
        <v>39</v>
      </c>
      <c r="C26" s="7" t="s">
        <v>6</v>
      </c>
      <c r="D26" s="8">
        <v>600</v>
      </c>
      <c r="E26" s="9" t="s">
        <v>40</v>
      </c>
    </row>
    <row r="27" spans="1:5">
      <c r="A27" s="2">
        <v>45775</v>
      </c>
      <c r="B27" s="3" t="s">
        <v>41</v>
      </c>
      <c r="C27" s="3" t="s">
        <v>6</v>
      </c>
      <c r="D27" s="4">
        <v>2655.06</v>
      </c>
      <c r="E27" s="9" t="s">
        <v>42</v>
      </c>
    </row>
    <row r="28" spans="1:5">
      <c r="A28" s="2">
        <v>45777</v>
      </c>
      <c r="B28" s="3" t="s">
        <v>46</v>
      </c>
      <c r="C28" s="3" t="s">
        <v>6</v>
      </c>
      <c r="D28" s="4">
        <v>300</v>
      </c>
      <c r="E28" s="9" t="s">
        <v>47</v>
      </c>
    </row>
    <row r="29" spans="1:5">
      <c r="A29" s="9" t="s">
        <v>18</v>
      </c>
      <c r="B29" s="9"/>
      <c r="C29" s="9"/>
      <c r="D29" s="10">
        <f>SUM(D3:D28)</f>
        <v>208044.46999999997</v>
      </c>
      <c r="E29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CE3C-6CA6-403A-9BFA-F941A05A1208}">
  <dimension ref="A1:E37"/>
  <sheetViews>
    <sheetView zoomScale="126" zoomScaleNormal="205" workbookViewId="0">
      <selection activeCell="E27" sqref="E27"/>
    </sheetView>
  </sheetViews>
  <sheetFormatPr defaultRowHeight="15"/>
  <cols>
    <col min="1" max="1" width="11" customWidth="1"/>
    <col min="2" max="2" width="49.5703125" customWidth="1"/>
    <col min="4" max="4" width="15.85546875" customWidth="1"/>
    <col min="5" max="5" width="37.140625" customWidth="1"/>
  </cols>
  <sheetData>
    <row r="1" spans="1:5">
      <c r="A1" s="107" t="s">
        <v>49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6">
        <v>45782</v>
      </c>
      <c r="B3" s="7" t="s">
        <v>13</v>
      </c>
      <c r="C3" s="7" t="s">
        <v>6</v>
      </c>
      <c r="D3" s="8">
        <v>375</v>
      </c>
      <c r="E3" s="103" t="s">
        <v>209</v>
      </c>
    </row>
    <row r="4" spans="1:5">
      <c r="A4" s="2">
        <v>45782</v>
      </c>
      <c r="B4" s="3" t="s">
        <v>21</v>
      </c>
      <c r="C4" s="3" t="s">
        <v>6</v>
      </c>
      <c r="D4" s="4">
        <v>22300</v>
      </c>
      <c r="E4" s="103" t="s">
        <v>214</v>
      </c>
    </row>
    <row r="5" spans="1:5">
      <c r="A5" s="2">
        <v>45785</v>
      </c>
      <c r="B5" s="3" t="s">
        <v>50</v>
      </c>
      <c r="C5" s="3" t="s">
        <v>6</v>
      </c>
      <c r="D5" s="4">
        <v>1518</v>
      </c>
      <c r="E5" s="9" t="s">
        <v>51</v>
      </c>
    </row>
    <row r="6" spans="1:5">
      <c r="A6" s="6">
        <v>45786</v>
      </c>
      <c r="B6" s="7" t="s">
        <v>21</v>
      </c>
      <c r="C6" s="7" t="s">
        <v>6</v>
      </c>
      <c r="D6" s="8">
        <v>30000</v>
      </c>
      <c r="E6" s="103" t="s">
        <v>214</v>
      </c>
    </row>
    <row r="7" spans="1:5">
      <c r="A7" s="6">
        <v>45786</v>
      </c>
      <c r="B7" s="7" t="s">
        <v>52</v>
      </c>
      <c r="C7" s="7" t="s">
        <v>6</v>
      </c>
      <c r="D7" s="8">
        <v>1571.65</v>
      </c>
      <c r="E7" s="103" t="s">
        <v>228</v>
      </c>
    </row>
    <row r="8" spans="1:5">
      <c r="A8" s="2">
        <v>45786</v>
      </c>
      <c r="B8" s="3" t="s">
        <v>21</v>
      </c>
      <c r="C8" s="3" t="s">
        <v>6</v>
      </c>
      <c r="D8" s="4">
        <v>5000</v>
      </c>
      <c r="E8" s="103" t="s">
        <v>214</v>
      </c>
    </row>
    <row r="9" spans="1:5">
      <c r="A9" s="6">
        <v>45789</v>
      </c>
      <c r="B9" s="7" t="s">
        <v>13</v>
      </c>
      <c r="C9" s="7" t="s">
        <v>6</v>
      </c>
      <c r="D9" s="8">
        <v>375</v>
      </c>
      <c r="E9" s="103" t="s">
        <v>209</v>
      </c>
    </row>
    <row r="10" spans="1:5">
      <c r="A10" s="2">
        <v>45789</v>
      </c>
      <c r="B10" s="3" t="s">
        <v>53</v>
      </c>
      <c r="C10" s="3" t="s">
        <v>6</v>
      </c>
      <c r="D10" s="4">
        <v>300</v>
      </c>
      <c r="E10" s="103" t="s">
        <v>232</v>
      </c>
    </row>
    <row r="11" spans="1:5">
      <c r="A11" s="31">
        <v>45791</v>
      </c>
      <c r="B11" s="32" t="s">
        <v>29</v>
      </c>
      <c r="C11" s="32" t="s">
        <v>6</v>
      </c>
      <c r="D11" s="33">
        <v>60000</v>
      </c>
      <c r="E11" s="103" t="s">
        <v>220</v>
      </c>
    </row>
    <row r="12" spans="1:5">
      <c r="A12" s="6">
        <v>45783</v>
      </c>
      <c r="B12" s="7" t="s">
        <v>54</v>
      </c>
      <c r="C12" s="7" t="s">
        <v>6</v>
      </c>
      <c r="D12" s="8">
        <v>300</v>
      </c>
      <c r="E12" s="103" t="s">
        <v>227</v>
      </c>
    </row>
    <row r="13" spans="1:5">
      <c r="A13" s="6">
        <v>45786</v>
      </c>
      <c r="B13" s="7" t="s">
        <v>13</v>
      </c>
      <c r="C13" s="7" t="s">
        <v>6</v>
      </c>
      <c r="D13" s="8">
        <v>375</v>
      </c>
      <c r="E13" s="103" t="s">
        <v>209</v>
      </c>
    </row>
    <row r="14" spans="1:5">
      <c r="A14" s="6">
        <v>45797</v>
      </c>
      <c r="B14" s="7" t="s">
        <v>55</v>
      </c>
      <c r="C14" s="7" t="s">
        <v>6</v>
      </c>
      <c r="D14" s="8">
        <v>1009.96</v>
      </c>
      <c r="E14" s="103" t="s">
        <v>229</v>
      </c>
    </row>
    <row r="15" spans="1:5">
      <c r="A15" s="31">
        <v>45797</v>
      </c>
      <c r="B15" s="32" t="s">
        <v>15</v>
      </c>
      <c r="C15" s="32" t="s">
        <v>6</v>
      </c>
      <c r="D15" s="33">
        <v>33531.01</v>
      </c>
      <c r="E15" s="103" t="s">
        <v>212</v>
      </c>
    </row>
    <row r="16" spans="1:5">
      <c r="A16" s="6">
        <v>45799</v>
      </c>
      <c r="B16" s="7" t="s">
        <v>56</v>
      </c>
      <c r="C16" s="7" t="s">
        <v>6</v>
      </c>
      <c r="D16" s="8">
        <v>1571.65</v>
      </c>
      <c r="E16" s="103" t="s">
        <v>224</v>
      </c>
    </row>
    <row r="17" spans="1:5">
      <c r="A17" s="2">
        <v>45799</v>
      </c>
      <c r="B17" s="3" t="s">
        <v>46</v>
      </c>
      <c r="C17" s="3" t="s">
        <v>6</v>
      </c>
      <c r="D17" s="4">
        <v>300</v>
      </c>
      <c r="E17" s="9" t="s">
        <v>240</v>
      </c>
    </row>
    <row r="18" spans="1:5">
      <c r="A18" s="2">
        <v>45800</v>
      </c>
      <c r="B18" s="3" t="s">
        <v>57</v>
      </c>
      <c r="C18" s="3" t="s">
        <v>6</v>
      </c>
      <c r="D18" s="4">
        <v>300</v>
      </c>
      <c r="E18" s="103" t="s">
        <v>230</v>
      </c>
    </row>
    <row r="19" spans="1:5">
      <c r="A19" s="6">
        <v>45803</v>
      </c>
      <c r="B19" s="7" t="s">
        <v>58</v>
      </c>
      <c r="C19" s="7" t="s">
        <v>6</v>
      </c>
      <c r="D19" s="8">
        <v>300</v>
      </c>
      <c r="E19" s="9" t="s">
        <v>240</v>
      </c>
    </row>
    <row r="20" spans="1:5">
      <c r="A20" s="2">
        <v>45803</v>
      </c>
      <c r="B20" s="3" t="s">
        <v>59</v>
      </c>
      <c r="C20" s="3" t="s">
        <v>6</v>
      </c>
      <c r="D20" s="4">
        <v>900</v>
      </c>
      <c r="E20" s="9" t="s">
        <v>240</v>
      </c>
    </row>
    <row r="21" spans="1:5">
      <c r="A21" s="6">
        <v>45803</v>
      </c>
      <c r="B21" s="7" t="s">
        <v>13</v>
      </c>
      <c r="C21" s="7" t="s">
        <v>6</v>
      </c>
      <c r="D21" s="8">
        <v>375</v>
      </c>
      <c r="E21" s="103" t="s">
        <v>209</v>
      </c>
    </row>
    <row r="22" spans="1:5">
      <c r="A22" s="2">
        <v>45804</v>
      </c>
      <c r="B22" s="3" t="s">
        <v>46</v>
      </c>
      <c r="C22" s="3" t="s">
        <v>6</v>
      </c>
      <c r="D22" s="4">
        <v>600</v>
      </c>
      <c r="E22" s="103" t="s">
        <v>241</v>
      </c>
    </row>
    <row r="23" spans="1:5">
      <c r="A23" s="6">
        <v>45804</v>
      </c>
      <c r="B23" s="7" t="s">
        <v>60</v>
      </c>
      <c r="C23" s="7" t="s">
        <v>6</v>
      </c>
      <c r="D23" s="8">
        <v>300</v>
      </c>
      <c r="E23" s="9" t="s">
        <v>240</v>
      </c>
    </row>
    <row r="24" spans="1:5">
      <c r="A24" s="6">
        <v>45804</v>
      </c>
      <c r="B24" s="7" t="s">
        <v>61</v>
      </c>
      <c r="C24" s="7" t="s">
        <v>6</v>
      </c>
      <c r="D24" s="8">
        <v>300</v>
      </c>
      <c r="E24" s="9" t="s">
        <v>240</v>
      </c>
    </row>
    <row r="25" spans="1:5">
      <c r="A25" s="2">
        <v>45804</v>
      </c>
      <c r="B25" s="3" t="s">
        <v>62</v>
      </c>
      <c r="C25" s="3" t="s">
        <v>6</v>
      </c>
      <c r="D25" s="4">
        <v>300</v>
      </c>
      <c r="E25" s="9" t="s">
        <v>240</v>
      </c>
    </row>
    <row r="26" spans="1:5">
      <c r="A26" s="2">
        <v>45805</v>
      </c>
      <c r="B26" s="3" t="s">
        <v>52</v>
      </c>
      <c r="C26" s="3" t="s">
        <v>6</v>
      </c>
      <c r="D26" s="4">
        <v>300</v>
      </c>
      <c r="E26" s="9" t="s">
        <v>240</v>
      </c>
    </row>
    <row r="27" spans="1:5">
      <c r="A27" s="6">
        <v>45806</v>
      </c>
      <c r="B27" s="7" t="s">
        <v>63</v>
      </c>
      <c r="C27" s="7" t="s">
        <v>6</v>
      </c>
      <c r="D27" s="8">
        <v>600</v>
      </c>
      <c r="E27" s="9" t="s">
        <v>240</v>
      </c>
    </row>
    <row r="28" spans="1:5">
      <c r="A28" s="2">
        <v>45806</v>
      </c>
      <c r="B28" s="3" t="s">
        <v>64</v>
      </c>
      <c r="C28" s="3" t="s">
        <v>6</v>
      </c>
      <c r="D28" s="4">
        <v>300</v>
      </c>
      <c r="E28" s="9" t="s">
        <v>240</v>
      </c>
    </row>
    <row r="29" spans="1:5">
      <c r="A29" s="6">
        <v>45806</v>
      </c>
      <c r="B29" s="7" t="s">
        <v>65</v>
      </c>
      <c r="C29" s="7" t="s">
        <v>6</v>
      </c>
      <c r="D29" s="8">
        <v>300</v>
      </c>
      <c r="E29" s="9" t="s">
        <v>240</v>
      </c>
    </row>
    <row r="30" spans="1:5">
      <c r="A30" s="2">
        <v>45807</v>
      </c>
      <c r="B30" s="3" t="s">
        <v>66</v>
      </c>
      <c r="C30" s="3" t="s">
        <v>6</v>
      </c>
      <c r="D30" s="4">
        <v>300</v>
      </c>
      <c r="E30" s="9" t="s">
        <v>240</v>
      </c>
    </row>
    <row r="31" spans="1:5">
      <c r="A31" s="6">
        <v>45807</v>
      </c>
      <c r="B31" s="7" t="s">
        <v>21</v>
      </c>
      <c r="C31" s="7" t="s">
        <v>6</v>
      </c>
      <c r="D31" s="8">
        <v>15000</v>
      </c>
      <c r="E31" s="103" t="s">
        <v>214</v>
      </c>
    </row>
    <row r="32" spans="1:5">
      <c r="A32" s="2">
        <v>45807</v>
      </c>
      <c r="B32" s="3" t="s">
        <v>67</v>
      </c>
      <c r="C32" s="3" t="s">
        <v>6</v>
      </c>
      <c r="D32" s="4">
        <v>600</v>
      </c>
      <c r="E32" s="9" t="s">
        <v>240</v>
      </c>
    </row>
    <row r="33" spans="1:5">
      <c r="A33" s="6">
        <v>45807</v>
      </c>
      <c r="B33" s="7" t="s">
        <v>68</v>
      </c>
      <c r="C33" s="7" t="s">
        <v>6</v>
      </c>
      <c r="D33" s="8">
        <v>600</v>
      </c>
      <c r="E33" s="103" t="s">
        <v>226</v>
      </c>
    </row>
    <row r="34" spans="1:5">
      <c r="A34" s="2">
        <v>45807</v>
      </c>
      <c r="B34" s="3" t="s">
        <v>69</v>
      </c>
      <c r="C34" s="3" t="s">
        <v>6</v>
      </c>
      <c r="D34" s="4">
        <v>600</v>
      </c>
      <c r="E34" s="103" t="s">
        <v>225</v>
      </c>
    </row>
    <row r="35" spans="1:5">
      <c r="A35" s="6">
        <v>45807</v>
      </c>
      <c r="B35" s="7" t="s">
        <v>70</v>
      </c>
      <c r="C35" s="7" t="s">
        <v>6</v>
      </c>
      <c r="D35" s="8">
        <v>600</v>
      </c>
      <c r="E35" s="9" t="s">
        <v>240</v>
      </c>
    </row>
    <row r="36" spans="1:5">
      <c r="A36" s="3" t="s">
        <v>71</v>
      </c>
      <c r="B36" s="3" t="s">
        <v>56</v>
      </c>
      <c r="C36" s="3" t="s">
        <v>6</v>
      </c>
      <c r="D36" s="4">
        <v>600</v>
      </c>
      <c r="E36" s="103" t="s">
        <v>224</v>
      </c>
    </row>
    <row r="37" spans="1:5">
      <c r="A37" s="9"/>
      <c r="B37" s="9"/>
      <c r="C37" s="9"/>
      <c r="D37" s="10">
        <f>SUM(D3:D36)</f>
        <v>181702.27</v>
      </c>
      <c r="E37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1E76-5AEB-4FC6-A1B0-F5A54D35CB1B}">
  <dimension ref="A1:E23"/>
  <sheetViews>
    <sheetView topLeftCell="A3" zoomScale="117" zoomScaleNormal="220" workbookViewId="0">
      <selection activeCell="E15" sqref="E15"/>
    </sheetView>
  </sheetViews>
  <sheetFormatPr defaultRowHeight="15"/>
  <cols>
    <col min="1" max="1" width="11.28515625" customWidth="1"/>
    <col min="2" max="2" width="46.5703125" customWidth="1"/>
    <col min="4" max="4" width="15.7109375" customWidth="1"/>
    <col min="5" max="5" width="23.140625" customWidth="1"/>
  </cols>
  <sheetData>
    <row r="1" spans="1:5">
      <c r="A1" s="107" t="s">
        <v>72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6">
        <v>45810</v>
      </c>
      <c r="B3" s="7" t="s">
        <v>13</v>
      </c>
      <c r="C3" s="7" t="s">
        <v>6</v>
      </c>
      <c r="D3" s="8">
        <v>600</v>
      </c>
      <c r="E3" s="103" t="s">
        <v>209</v>
      </c>
    </row>
    <row r="4" spans="1:5" ht="19.5" customHeight="1">
      <c r="A4" s="2">
        <v>45810</v>
      </c>
      <c r="B4" s="3" t="s">
        <v>73</v>
      </c>
      <c r="C4" s="3" t="s">
        <v>6</v>
      </c>
      <c r="D4" s="4">
        <v>350</v>
      </c>
      <c r="E4" s="103" t="s">
        <v>236</v>
      </c>
    </row>
    <row r="5" spans="1:5" ht="19.5" customHeight="1">
      <c r="A5" s="2">
        <v>45812</v>
      </c>
      <c r="B5" s="3" t="s">
        <v>8</v>
      </c>
      <c r="C5" s="3" t="s">
        <v>6</v>
      </c>
      <c r="D5" s="4">
        <v>900</v>
      </c>
      <c r="E5" s="103" t="s">
        <v>237</v>
      </c>
    </row>
    <row r="6" spans="1:5">
      <c r="A6" s="2">
        <v>45812</v>
      </c>
      <c r="B6" s="3" t="s">
        <v>21</v>
      </c>
      <c r="C6" s="3" t="s">
        <v>6</v>
      </c>
      <c r="D6" s="4">
        <v>10000</v>
      </c>
      <c r="E6" s="103" t="s">
        <v>214</v>
      </c>
    </row>
    <row r="7" spans="1:5">
      <c r="A7" s="2">
        <v>45817</v>
      </c>
      <c r="B7" s="3" t="s">
        <v>33</v>
      </c>
      <c r="C7" s="3" t="s">
        <v>6</v>
      </c>
      <c r="D7" s="4">
        <v>2052.65</v>
      </c>
      <c r="E7" s="26" t="s">
        <v>238</v>
      </c>
    </row>
    <row r="8" spans="1:5">
      <c r="A8" s="6">
        <v>45817</v>
      </c>
      <c r="B8" s="7" t="s">
        <v>21</v>
      </c>
      <c r="C8" s="7" t="s">
        <v>6</v>
      </c>
      <c r="D8" s="8">
        <v>35000</v>
      </c>
      <c r="E8" s="103" t="s">
        <v>214</v>
      </c>
    </row>
    <row r="9" spans="1:5">
      <c r="A9" s="2">
        <v>45817</v>
      </c>
      <c r="B9" s="3" t="s">
        <v>13</v>
      </c>
      <c r="C9" s="3" t="s">
        <v>6</v>
      </c>
      <c r="D9" s="4">
        <v>375</v>
      </c>
      <c r="E9" s="103" t="s">
        <v>209</v>
      </c>
    </row>
    <row r="10" spans="1:5">
      <c r="A10" s="6">
        <v>45818</v>
      </c>
      <c r="B10" s="7" t="s">
        <v>74</v>
      </c>
      <c r="C10" s="7" t="s">
        <v>6</v>
      </c>
      <c r="D10" s="8">
        <v>759</v>
      </c>
      <c r="E10" s="103" t="s">
        <v>235</v>
      </c>
    </row>
    <row r="11" spans="1:5">
      <c r="A11" s="2">
        <v>45824</v>
      </c>
      <c r="B11" s="3" t="s">
        <v>13</v>
      </c>
      <c r="C11" s="3" t="s">
        <v>6</v>
      </c>
      <c r="D11" s="4">
        <v>375</v>
      </c>
      <c r="E11" s="103" t="s">
        <v>209</v>
      </c>
    </row>
    <row r="12" spans="1:5">
      <c r="A12" s="2">
        <v>45824</v>
      </c>
      <c r="B12" s="3" t="s">
        <v>75</v>
      </c>
      <c r="C12" s="3" t="s">
        <v>6</v>
      </c>
      <c r="D12" s="4">
        <v>2052.65</v>
      </c>
      <c r="E12" s="9"/>
    </row>
    <row r="13" spans="1:5">
      <c r="A13" s="31">
        <v>45825</v>
      </c>
      <c r="B13" s="32" t="s">
        <v>15</v>
      </c>
      <c r="C13" s="32" t="s">
        <v>6</v>
      </c>
      <c r="D13" s="33">
        <v>26452.55</v>
      </c>
      <c r="E13" s="103" t="s">
        <v>212</v>
      </c>
    </row>
    <row r="14" spans="1:5">
      <c r="A14" s="2">
        <v>45831</v>
      </c>
      <c r="B14" s="3" t="s">
        <v>21</v>
      </c>
      <c r="C14" s="3" t="s">
        <v>6</v>
      </c>
      <c r="D14" s="4">
        <v>5000</v>
      </c>
      <c r="E14" s="103" t="s">
        <v>214</v>
      </c>
    </row>
    <row r="15" spans="1:5">
      <c r="A15" s="36">
        <v>45831</v>
      </c>
      <c r="B15" s="37" t="s">
        <v>76</v>
      </c>
      <c r="C15" s="37" t="s">
        <v>6</v>
      </c>
      <c r="D15" s="38">
        <v>60000</v>
      </c>
      <c r="E15" s="103" t="s">
        <v>220</v>
      </c>
    </row>
    <row r="16" spans="1:5">
      <c r="A16" s="6">
        <v>45831</v>
      </c>
      <c r="B16" s="7" t="s">
        <v>13</v>
      </c>
      <c r="C16" s="7" t="s">
        <v>6</v>
      </c>
      <c r="D16" s="8">
        <v>375</v>
      </c>
      <c r="E16" s="103" t="s">
        <v>209</v>
      </c>
    </row>
    <row r="17" spans="1:5">
      <c r="A17" s="2">
        <v>45832</v>
      </c>
      <c r="B17" s="3" t="s">
        <v>13</v>
      </c>
      <c r="C17" s="3" t="s">
        <v>6</v>
      </c>
      <c r="D17" s="4">
        <v>600</v>
      </c>
      <c r="E17" s="103" t="s">
        <v>209</v>
      </c>
    </row>
    <row r="18" spans="1:5">
      <c r="A18" s="2">
        <v>45838</v>
      </c>
      <c r="B18" s="3" t="s">
        <v>77</v>
      </c>
      <c r="C18" s="3" t="s">
        <v>6</v>
      </c>
      <c r="D18" s="4">
        <v>960</v>
      </c>
      <c r="E18" s="103" t="s">
        <v>233</v>
      </c>
    </row>
    <row r="19" spans="1:5">
      <c r="A19" s="2">
        <v>45838</v>
      </c>
      <c r="B19" s="3" t="s">
        <v>21</v>
      </c>
      <c r="C19" s="3" t="s">
        <v>6</v>
      </c>
      <c r="D19" s="4">
        <v>30000</v>
      </c>
      <c r="E19" s="103" t="s">
        <v>214</v>
      </c>
    </row>
    <row r="20" spans="1:5">
      <c r="A20" s="6">
        <v>45838</v>
      </c>
      <c r="B20" s="7" t="s">
        <v>78</v>
      </c>
      <c r="C20" s="7" t="s">
        <v>6</v>
      </c>
      <c r="D20" s="8">
        <v>900</v>
      </c>
      <c r="E20" s="103" t="s">
        <v>234</v>
      </c>
    </row>
    <row r="21" spans="1:5">
      <c r="A21" s="7" t="s">
        <v>79</v>
      </c>
      <c r="B21" s="7" t="s">
        <v>13</v>
      </c>
      <c r="C21" s="7" t="s">
        <v>6</v>
      </c>
      <c r="D21" s="8">
        <v>375</v>
      </c>
      <c r="E21" s="103" t="s">
        <v>209</v>
      </c>
    </row>
    <row r="22" spans="1:5">
      <c r="A22" s="2" t="s">
        <v>18</v>
      </c>
      <c r="B22" s="3"/>
      <c r="C22" s="3"/>
      <c r="D22" s="4">
        <f>SUM(D3:D21)</f>
        <v>177126.85</v>
      </c>
      <c r="E22" s="9"/>
    </row>
    <row r="23" spans="1:5">
      <c r="A23" s="9"/>
      <c r="B23" s="9"/>
      <c r="C23" s="9"/>
      <c r="D23" s="10"/>
      <c r="E23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DB02-EA59-4D52-818F-400D947EAC30}">
  <dimension ref="A1:E22"/>
  <sheetViews>
    <sheetView zoomScale="101" zoomScaleNormal="220" workbookViewId="0">
      <selection activeCell="E8" sqref="E8"/>
    </sheetView>
  </sheetViews>
  <sheetFormatPr defaultRowHeight="15"/>
  <cols>
    <col min="1" max="1" width="12.5703125" customWidth="1"/>
    <col min="2" max="2" width="46.85546875" customWidth="1"/>
    <col min="4" max="4" width="16" customWidth="1"/>
    <col min="5" max="5" width="27.140625" customWidth="1"/>
  </cols>
  <sheetData>
    <row r="1" spans="1:5">
      <c r="A1" s="107" t="s">
        <v>80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2">
        <v>45842</v>
      </c>
      <c r="B3" s="3" t="s">
        <v>55</v>
      </c>
      <c r="C3" s="3" t="s">
        <v>6</v>
      </c>
      <c r="D3" s="4">
        <v>1900</v>
      </c>
      <c r="E3" s="103" t="s">
        <v>242</v>
      </c>
    </row>
    <row r="4" spans="1:5">
      <c r="A4" s="2">
        <v>45842</v>
      </c>
      <c r="B4" s="3" t="s">
        <v>81</v>
      </c>
      <c r="C4" s="3" t="s">
        <v>6</v>
      </c>
      <c r="D4" s="4">
        <v>300</v>
      </c>
      <c r="E4" s="103"/>
    </row>
    <row r="5" spans="1:5">
      <c r="A5" s="6">
        <v>45842</v>
      </c>
      <c r="B5" s="7" t="s">
        <v>82</v>
      </c>
      <c r="C5" s="7" t="s">
        <v>6</v>
      </c>
      <c r="D5" s="8">
        <v>300</v>
      </c>
      <c r="E5" s="103"/>
    </row>
    <row r="6" spans="1:5">
      <c r="A6" s="2">
        <v>45845</v>
      </c>
      <c r="B6" s="3" t="s">
        <v>83</v>
      </c>
      <c r="C6" s="3" t="s">
        <v>6</v>
      </c>
      <c r="D6" s="4">
        <v>600</v>
      </c>
      <c r="E6" s="103" t="s">
        <v>243</v>
      </c>
    </row>
    <row r="7" spans="1:5">
      <c r="A7" s="6">
        <v>45845</v>
      </c>
      <c r="B7" s="7" t="s">
        <v>13</v>
      </c>
      <c r="C7" s="7" t="s">
        <v>6</v>
      </c>
      <c r="D7" s="8">
        <v>375</v>
      </c>
      <c r="E7" s="103" t="s">
        <v>209</v>
      </c>
    </row>
    <row r="8" spans="1:5">
      <c r="A8" s="2">
        <v>45845</v>
      </c>
      <c r="B8" s="3" t="s">
        <v>21</v>
      </c>
      <c r="C8" s="3" t="s">
        <v>6</v>
      </c>
      <c r="D8" s="4">
        <v>5000</v>
      </c>
      <c r="E8" s="103" t="s">
        <v>214</v>
      </c>
    </row>
    <row r="9" spans="1:5">
      <c r="A9" s="2">
        <v>45846</v>
      </c>
      <c r="B9" s="3" t="s">
        <v>55</v>
      </c>
      <c r="C9" s="3" t="s">
        <v>6</v>
      </c>
      <c r="D9" s="4">
        <v>900</v>
      </c>
      <c r="E9" s="103" t="s">
        <v>242</v>
      </c>
    </row>
    <row r="10" spans="1:5">
      <c r="A10" s="6">
        <v>45846</v>
      </c>
      <c r="B10" s="7" t="s">
        <v>55</v>
      </c>
      <c r="C10" s="7" t="s">
        <v>6</v>
      </c>
      <c r="D10" s="8">
        <v>1000</v>
      </c>
      <c r="E10" s="103" t="s">
        <v>242</v>
      </c>
    </row>
    <row r="11" spans="1:5">
      <c r="A11" s="6">
        <v>45848</v>
      </c>
      <c r="B11" s="7" t="s">
        <v>21</v>
      </c>
      <c r="C11" s="7" t="s">
        <v>6</v>
      </c>
      <c r="D11" s="8">
        <v>45000</v>
      </c>
      <c r="E11" s="103" t="s">
        <v>214</v>
      </c>
    </row>
    <row r="12" spans="1:5">
      <c r="A12" s="6">
        <v>45848</v>
      </c>
      <c r="B12" s="7" t="s">
        <v>84</v>
      </c>
      <c r="C12" s="7" t="s">
        <v>6</v>
      </c>
      <c r="D12" s="8">
        <v>1200</v>
      </c>
      <c r="E12" s="103"/>
    </row>
    <row r="13" spans="1:5">
      <c r="A13" s="2">
        <v>45849</v>
      </c>
      <c r="B13" s="3" t="s">
        <v>41</v>
      </c>
      <c r="C13" s="3" t="s">
        <v>6</v>
      </c>
      <c r="D13" s="4">
        <v>759</v>
      </c>
      <c r="E13" s="103" t="s">
        <v>244</v>
      </c>
    </row>
    <row r="14" spans="1:5">
      <c r="A14" s="2">
        <v>45852</v>
      </c>
      <c r="B14" s="3" t="s">
        <v>13</v>
      </c>
      <c r="C14" s="3" t="s">
        <v>6</v>
      </c>
      <c r="D14" s="4">
        <v>375</v>
      </c>
      <c r="E14" s="103" t="s">
        <v>209</v>
      </c>
    </row>
    <row r="15" spans="1:5">
      <c r="A15" s="6">
        <v>45854</v>
      </c>
      <c r="B15" s="7" t="s">
        <v>85</v>
      </c>
      <c r="C15" s="7" t="s">
        <v>6</v>
      </c>
      <c r="D15" s="8">
        <v>400</v>
      </c>
      <c r="E15" s="103" t="s">
        <v>245</v>
      </c>
    </row>
    <row r="16" spans="1:5">
      <c r="A16" s="6">
        <v>45855</v>
      </c>
      <c r="B16" s="7" t="s">
        <v>86</v>
      </c>
      <c r="C16" s="7" t="s">
        <v>6</v>
      </c>
      <c r="D16" s="8">
        <v>2761</v>
      </c>
      <c r="E16" s="103"/>
    </row>
    <row r="17" spans="1:5">
      <c r="A17" s="2">
        <v>45859</v>
      </c>
      <c r="B17" s="3" t="s">
        <v>13</v>
      </c>
      <c r="C17" s="3" t="s">
        <v>6</v>
      </c>
      <c r="D17" s="4">
        <v>375</v>
      </c>
      <c r="E17" s="103" t="s">
        <v>209</v>
      </c>
    </row>
    <row r="18" spans="1:5">
      <c r="A18" s="2">
        <v>45866</v>
      </c>
      <c r="B18" s="3" t="s">
        <v>13</v>
      </c>
      <c r="C18" s="3" t="s">
        <v>6</v>
      </c>
      <c r="D18" s="4">
        <v>375</v>
      </c>
      <c r="E18" s="103" t="s">
        <v>209</v>
      </c>
    </row>
    <row r="19" spans="1:5">
      <c r="A19" s="36">
        <v>45868</v>
      </c>
      <c r="B19" s="37" t="s">
        <v>87</v>
      </c>
      <c r="C19" s="37" t="s">
        <v>6</v>
      </c>
      <c r="D19" s="38">
        <v>4346.3</v>
      </c>
      <c r="E19" s="103" t="s">
        <v>211</v>
      </c>
    </row>
    <row r="20" spans="1:5">
      <c r="A20" s="2">
        <v>45868</v>
      </c>
      <c r="B20" s="3" t="s">
        <v>11</v>
      </c>
      <c r="C20" s="3" t="s">
        <v>88</v>
      </c>
      <c r="D20" s="4">
        <v>2554.59</v>
      </c>
      <c r="E20" s="103" t="s">
        <v>208</v>
      </c>
    </row>
    <row r="21" spans="1:5">
      <c r="A21" s="9" t="s">
        <v>18</v>
      </c>
      <c r="B21" s="9"/>
      <c r="C21" s="9"/>
      <c r="D21" s="10">
        <f>SUM(D3:D20)</f>
        <v>68520.89</v>
      </c>
    </row>
    <row r="22" spans="1:5">
      <c r="A22" s="9"/>
      <c r="B22" s="9"/>
      <c r="C22" s="9"/>
      <c r="D22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32DB-E5D5-4F66-97C2-7F399DFAA0F8}">
  <dimension ref="A1:E22"/>
  <sheetViews>
    <sheetView zoomScale="112" zoomScaleNormal="205" workbookViewId="0">
      <selection activeCell="E20" sqref="E20"/>
    </sheetView>
  </sheetViews>
  <sheetFormatPr defaultRowHeight="15"/>
  <cols>
    <col min="1" max="1" width="12.5703125" customWidth="1"/>
    <col min="2" max="2" width="51.42578125" customWidth="1"/>
    <col min="4" max="4" width="15.140625" customWidth="1"/>
    <col min="5" max="5" width="62.28515625" customWidth="1"/>
  </cols>
  <sheetData>
    <row r="1" spans="1:5">
      <c r="A1" s="107" t="s">
        <v>89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6">
        <v>45873</v>
      </c>
      <c r="B3" s="7" t="s">
        <v>90</v>
      </c>
      <c r="C3" s="7" t="s">
        <v>6</v>
      </c>
      <c r="D3" s="8">
        <v>300</v>
      </c>
      <c r="E3" s="9" t="s">
        <v>91</v>
      </c>
    </row>
    <row r="4" spans="1:5">
      <c r="A4" s="6">
        <v>45873</v>
      </c>
      <c r="B4" s="7" t="s">
        <v>13</v>
      </c>
      <c r="C4" s="7" t="s">
        <v>6</v>
      </c>
      <c r="D4" s="8">
        <v>375</v>
      </c>
      <c r="E4" s="103" t="s">
        <v>209</v>
      </c>
    </row>
    <row r="5" spans="1:5">
      <c r="A5" s="2">
        <v>45873</v>
      </c>
      <c r="B5" s="3" t="s">
        <v>21</v>
      </c>
      <c r="C5" s="3" t="s">
        <v>6</v>
      </c>
      <c r="D5" s="4">
        <v>10000</v>
      </c>
      <c r="E5" s="103" t="s">
        <v>214</v>
      </c>
    </row>
    <row r="6" spans="1:5" ht="16.5" customHeight="1">
      <c r="A6" s="6">
        <v>45875</v>
      </c>
      <c r="B6" s="7" t="s">
        <v>36</v>
      </c>
      <c r="C6" s="7" t="s">
        <v>6</v>
      </c>
      <c r="D6" s="8">
        <v>486</v>
      </c>
      <c r="E6" s="9" t="s">
        <v>92</v>
      </c>
    </row>
    <row r="7" spans="1:5">
      <c r="A7" s="2">
        <v>45877</v>
      </c>
      <c r="B7" s="3" t="s">
        <v>93</v>
      </c>
      <c r="C7" s="3" t="s">
        <v>6</v>
      </c>
      <c r="D7" s="4">
        <v>971.65</v>
      </c>
      <c r="E7" s="9" t="s">
        <v>94</v>
      </c>
    </row>
    <row r="8" spans="1:5">
      <c r="A8" s="6">
        <v>45880</v>
      </c>
      <c r="B8" s="7" t="s">
        <v>13</v>
      </c>
      <c r="C8" s="7" t="s">
        <v>6</v>
      </c>
      <c r="D8" s="8">
        <v>375</v>
      </c>
      <c r="E8" s="9"/>
    </row>
    <row r="9" spans="1:5">
      <c r="A9" s="2">
        <v>45880</v>
      </c>
      <c r="B9" s="3" t="s">
        <v>21</v>
      </c>
      <c r="C9" s="3" t="s">
        <v>6</v>
      </c>
      <c r="D9" s="4">
        <v>40000</v>
      </c>
      <c r="E9" s="103" t="s">
        <v>214</v>
      </c>
    </row>
    <row r="10" spans="1:5">
      <c r="A10" s="2">
        <v>45881</v>
      </c>
      <c r="B10" s="3" t="s">
        <v>95</v>
      </c>
      <c r="C10" s="3" t="s">
        <v>6</v>
      </c>
      <c r="D10" s="4">
        <v>1000</v>
      </c>
      <c r="E10" s="26"/>
    </row>
    <row r="11" spans="1:5">
      <c r="A11" s="6">
        <v>45881</v>
      </c>
      <c r="B11" s="7" t="s">
        <v>96</v>
      </c>
      <c r="C11" s="7" t="s">
        <v>6</v>
      </c>
      <c r="D11" s="8">
        <v>2071.4299999999998</v>
      </c>
      <c r="E11" s="9"/>
    </row>
    <row r="12" spans="1:5">
      <c r="A12" s="50">
        <v>45882</v>
      </c>
      <c r="B12" s="51" t="s">
        <v>97</v>
      </c>
      <c r="C12" s="51" t="s">
        <v>6</v>
      </c>
      <c r="D12" s="52">
        <v>301.41000000000003</v>
      </c>
      <c r="E12" s="69" t="s">
        <v>98</v>
      </c>
    </row>
    <row r="13" spans="1:5">
      <c r="A13" s="6">
        <v>45884</v>
      </c>
      <c r="B13" s="7" t="s">
        <v>76</v>
      </c>
      <c r="C13" s="7" t="s">
        <v>6</v>
      </c>
      <c r="D13" s="8">
        <v>971.65</v>
      </c>
      <c r="E13" s="9" t="s">
        <v>94</v>
      </c>
    </row>
    <row r="14" spans="1:5">
      <c r="A14" s="6">
        <v>45887</v>
      </c>
      <c r="B14" s="7" t="s">
        <v>13</v>
      </c>
      <c r="C14" s="7" t="s">
        <v>6</v>
      </c>
      <c r="D14" s="8">
        <v>375</v>
      </c>
      <c r="E14" s="103" t="s">
        <v>209</v>
      </c>
    </row>
    <row r="15" spans="1:5">
      <c r="A15" s="31">
        <v>45887</v>
      </c>
      <c r="B15" s="32" t="s">
        <v>31</v>
      </c>
      <c r="C15" s="32" t="s">
        <v>6</v>
      </c>
      <c r="D15" s="33">
        <v>48081.29</v>
      </c>
      <c r="E15" s="103" t="s">
        <v>246</v>
      </c>
    </row>
    <row r="16" spans="1:5" ht="14.25" customHeight="1">
      <c r="A16" s="2">
        <v>45888</v>
      </c>
      <c r="B16" s="3" t="s">
        <v>99</v>
      </c>
      <c r="C16" s="3" t="s">
        <v>6</v>
      </c>
      <c r="D16" s="4">
        <v>2842.6</v>
      </c>
      <c r="E16" s="34" t="s">
        <v>100</v>
      </c>
    </row>
    <row r="17" spans="1:5">
      <c r="A17" s="6">
        <v>45889</v>
      </c>
      <c r="B17" s="7" t="s">
        <v>33</v>
      </c>
      <c r="C17" s="7" t="s">
        <v>6</v>
      </c>
      <c r="D17" s="8">
        <v>919.95</v>
      </c>
      <c r="E17" s="9" t="s">
        <v>101</v>
      </c>
    </row>
    <row r="18" spans="1:5">
      <c r="A18" s="6">
        <v>45894</v>
      </c>
      <c r="B18" s="7" t="s">
        <v>13</v>
      </c>
      <c r="C18" s="7" t="s">
        <v>6</v>
      </c>
      <c r="D18" s="8">
        <v>375</v>
      </c>
      <c r="E18" s="103" t="s">
        <v>209</v>
      </c>
    </row>
    <row r="19" spans="1:5">
      <c r="A19" s="18">
        <v>45896</v>
      </c>
      <c r="B19" s="19" t="s">
        <v>85</v>
      </c>
      <c r="C19" s="19" t="s">
        <v>6</v>
      </c>
      <c r="D19" s="20">
        <v>2660</v>
      </c>
      <c r="E19" s="21" t="s">
        <v>102</v>
      </c>
    </row>
    <row r="20" spans="1:5">
      <c r="A20" s="6">
        <v>45898</v>
      </c>
      <c r="B20" s="7" t="s">
        <v>103</v>
      </c>
      <c r="C20" s="7" t="s">
        <v>6</v>
      </c>
      <c r="D20" s="8">
        <v>20000</v>
      </c>
      <c r="E20" s="103" t="s">
        <v>214</v>
      </c>
    </row>
    <row r="21" spans="1:5">
      <c r="A21" s="6">
        <v>45898</v>
      </c>
      <c r="B21" s="7" t="s">
        <v>48</v>
      </c>
      <c r="C21" s="7" t="s">
        <v>6</v>
      </c>
      <c r="D21" s="8">
        <v>3000</v>
      </c>
      <c r="E21" s="9" t="s">
        <v>104</v>
      </c>
    </row>
    <row r="22" spans="1:5">
      <c r="A22" s="9" t="s">
        <v>18</v>
      </c>
      <c r="B22" s="9"/>
      <c r="C22" s="9"/>
      <c r="D22" s="10">
        <f>SUM(D3:D21)</f>
        <v>135105.98000000001</v>
      </c>
      <c r="E22" s="9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E907-0D69-46B0-835B-928FA4D001D6}">
  <dimension ref="A1:E34"/>
  <sheetViews>
    <sheetView topLeftCell="A4" zoomScale="114" zoomScaleNormal="220" workbookViewId="0">
      <selection activeCell="D19" sqref="D19"/>
    </sheetView>
  </sheetViews>
  <sheetFormatPr defaultRowHeight="15"/>
  <cols>
    <col min="1" max="1" width="11" bestFit="1" customWidth="1"/>
    <col min="2" max="2" width="52.85546875" customWidth="1"/>
    <col min="4" max="4" width="15.42578125" customWidth="1"/>
    <col min="5" max="5" width="60.85546875" customWidth="1"/>
  </cols>
  <sheetData>
    <row r="1" spans="1:5">
      <c r="A1" s="107" t="s">
        <v>105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6">
        <v>45901</v>
      </c>
      <c r="B3" s="7" t="s">
        <v>106</v>
      </c>
      <c r="C3" s="7" t="s">
        <v>6</v>
      </c>
      <c r="D3" s="8">
        <v>600</v>
      </c>
      <c r="E3" s="9" t="s">
        <v>107</v>
      </c>
    </row>
    <row r="4" spans="1:5">
      <c r="A4" s="13">
        <v>45901</v>
      </c>
      <c r="B4" s="14" t="s">
        <v>99</v>
      </c>
      <c r="C4" s="14" t="s">
        <v>6</v>
      </c>
      <c r="D4" s="39">
        <v>1759.3</v>
      </c>
      <c r="E4" s="21" t="s">
        <v>108</v>
      </c>
    </row>
    <row r="5" spans="1:5">
      <c r="A5" s="50">
        <v>45901</v>
      </c>
      <c r="B5" s="51" t="s">
        <v>109</v>
      </c>
      <c r="C5" s="51" t="s">
        <v>6</v>
      </c>
      <c r="D5" s="52">
        <v>977.45</v>
      </c>
      <c r="E5" s="53" t="s">
        <v>110</v>
      </c>
    </row>
    <row r="6" spans="1:5">
      <c r="A6" s="50">
        <v>45902</v>
      </c>
      <c r="B6" s="51" t="s">
        <v>109</v>
      </c>
      <c r="C6" s="51" t="s">
        <v>6</v>
      </c>
      <c r="D6" s="52">
        <v>977.45</v>
      </c>
      <c r="E6" s="53" t="s">
        <v>110</v>
      </c>
    </row>
    <row r="7" spans="1:5">
      <c r="A7" s="6">
        <v>45904</v>
      </c>
      <c r="B7" s="7" t="s">
        <v>33</v>
      </c>
      <c r="C7" s="7" t="s">
        <v>6</v>
      </c>
      <c r="D7" s="22">
        <v>1419.85</v>
      </c>
      <c r="E7" s="9" t="s">
        <v>111</v>
      </c>
    </row>
    <row r="8" spans="1:5">
      <c r="A8" s="2">
        <v>45905</v>
      </c>
      <c r="B8" s="43" t="s">
        <v>112</v>
      </c>
      <c r="C8" s="43" t="s">
        <v>6</v>
      </c>
      <c r="D8" s="44">
        <v>60000</v>
      </c>
      <c r="E8" s="45" t="s">
        <v>220</v>
      </c>
    </row>
    <row r="9" spans="1:5">
      <c r="A9" s="50">
        <v>45908</v>
      </c>
      <c r="B9" s="51" t="s">
        <v>109</v>
      </c>
      <c r="C9" s="51" t="s">
        <v>6</v>
      </c>
      <c r="D9" s="52">
        <v>977.45</v>
      </c>
      <c r="E9" s="54" t="s">
        <v>113</v>
      </c>
    </row>
    <row r="10" spans="1:5" ht="15.75" thickBot="1">
      <c r="A10" s="42">
        <v>45908</v>
      </c>
      <c r="B10" s="3" t="s">
        <v>13</v>
      </c>
      <c r="C10" s="3" t="s">
        <v>6</v>
      </c>
      <c r="D10" s="4">
        <v>375</v>
      </c>
      <c r="E10" s="9" t="s">
        <v>114</v>
      </c>
    </row>
    <row r="11" spans="1:5" ht="15.75" thickBot="1">
      <c r="A11" s="40">
        <v>45910</v>
      </c>
      <c r="B11" s="7" t="s">
        <v>34</v>
      </c>
      <c r="C11" s="7" t="s">
        <v>6</v>
      </c>
      <c r="D11" s="8">
        <v>3000</v>
      </c>
      <c r="E11" s="9" t="s">
        <v>115</v>
      </c>
    </row>
    <row r="12" spans="1:5" ht="15.75" thickBot="1">
      <c r="A12" s="41">
        <v>45911</v>
      </c>
      <c r="B12" s="3" t="s">
        <v>77</v>
      </c>
      <c r="C12" s="3" t="s">
        <v>6</v>
      </c>
      <c r="D12" s="4">
        <v>5261.23</v>
      </c>
      <c r="E12" s="26" t="s">
        <v>233</v>
      </c>
    </row>
    <row r="13" spans="1:5">
      <c r="A13" s="55">
        <v>45911</v>
      </c>
      <c r="B13" s="56" t="s">
        <v>24</v>
      </c>
      <c r="C13" s="56" t="s">
        <v>6</v>
      </c>
      <c r="D13" s="57">
        <v>977.45</v>
      </c>
      <c r="E13" s="58" t="s">
        <v>116</v>
      </c>
    </row>
    <row r="14" spans="1:5">
      <c r="A14" s="2">
        <v>45911</v>
      </c>
      <c r="B14" s="3" t="s">
        <v>117</v>
      </c>
      <c r="C14" s="3" t="s">
        <v>6</v>
      </c>
      <c r="D14" s="4">
        <v>793.9</v>
      </c>
      <c r="E14" s="46" t="s">
        <v>118</v>
      </c>
    </row>
    <row r="15" spans="1:5">
      <c r="A15" s="2">
        <v>45912</v>
      </c>
      <c r="B15" s="3" t="s">
        <v>36</v>
      </c>
      <c r="C15" s="3" t="s">
        <v>6</v>
      </c>
      <c r="D15" s="4">
        <v>723.9</v>
      </c>
      <c r="E15" s="9" t="s">
        <v>119</v>
      </c>
    </row>
    <row r="16" spans="1:5">
      <c r="A16" s="2">
        <v>45915</v>
      </c>
      <c r="B16" s="3" t="s">
        <v>120</v>
      </c>
      <c r="C16" s="3" t="s">
        <v>6</v>
      </c>
      <c r="D16" s="4">
        <v>2400</v>
      </c>
      <c r="E16" s="9" t="s">
        <v>121</v>
      </c>
    </row>
    <row r="17" spans="1:5">
      <c r="A17" s="6">
        <v>45915</v>
      </c>
      <c r="B17" s="7" t="s">
        <v>13</v>
      </c>
      <c r="C17" s="7" t="s">
        <v>6</v>
      </c>
      <c r="D17" s="8">
        <v>375</v>
      </c>
      <c r="E17" s="103" t="s">
        <v>209</v>
      </c>
    </row>
    <row r="18" spans="1:5">
      <c r="A18" s="2">
        <v>45917</v>
      </c>
      <c r="B18" s="3" t="s">
        <v>15</v>
      </c>
      <c r="C18" s="3" t="s">
        <v>6</v>
      </c>
      <c r="D18" s="4">
        <v>3556.72</v>
      </c>
      <c r="E18" s="103" t="s">
        <v>212</v>
      </c>
    </row>
    <row r="19" spans="1:5">
      <c r="A19" s="18">
        <v>45922</v>
      </c>
      <c r="B19" s="19" t="s">
        <v>34</v>
      </c>
      <c r="C19" s="19" t="s">
        <v>6</v>
      </c>
      <c r="D19" s="20">
        <v>3081.75</v>
      </c>
      <c r="E19" s="21" t="s">
        <v>122</v>
      </c>
    </row>
    <row r="20" spans="1:5">
      <c r="A20" s="6">
        <v>45922</v>
      </c>
      <c r="B20" s="7" t="s">
        <v>8</v>
      </c>
      <c r="C20" s="7" t="s">
        <v>6</v>
      </c>
      <c r="D20" s="8">
        <v>1932.87</v>
      </c>
      <c r="E20" s="103" t="s">
        <v>237</v>
      </c>
    </row>
    <row r="21" spans="1:5">
      <c r="A21" s="13">
        <v>45922</v>
      </c>
      <c r="B21" s="14" t="s">
        <v>123</v>
      </c>
      <c r="C21" s="14" t="s">
        <v>6</v>
      </c>
      <c r="D21" s="39">
        <v>1000</v>
      </c>
      <c r="E21" s="49" t="s">
        <v>124</v>
      </c>
    </row>
    <row r="22" spans="1:5">
      <c r="A22" s="2">
        <v>45923</v>
      </c>
      <c r="B22" s="3" t="s">
        <v>13</v>
      </c>
      <c r="C22" s="3" t="s">
        <v>6</v>
      </c>
      <c r="D22" s="4">
        <v>375</v>
      </c>
      <c r="E22" s="103" t="s">
        <v>209</v>
      </c>
    </row>
    <row r="23" spans="1:5">
      <c r="A23" s="13">
        <v>45923</v>
      </c>
      <c r="B23" s="14" t="s">
        <v>125</v>
      </c>
      <c r="C23" s="14" t="s">
        <v>6</v>
      </c>
      <c r="D23" s="39">
        <v>15588.28</v>
      </c>
      <c r="E23" s="103" t="s">
        <v>247</v>
      </c>
    </row>
    <row r="24" spans="1:5">
      <c r="A24" s="70">
        <v>45925</v>
      </c>
      <c r="B24" s="63" t="s">
        <v>8</v>
      </c>
      <c r="C24" s="63" t="s">
        <v>6</v>
      </c>
      <c r="D24" s="4">
        <v>2100</v>
      </c>
      <c r="E24" s="10" t="s">
        <v>126</v>
      </c>
    </row>
    <row r="25" spans="1:5">
      <c r="A25" s="70">
        <v>45926</v>
      </c>
      <c r="B25" s="67" t="s">
        <v>109</v>
      </c>
      <c r="C25" s="67" t="s">
        <v>6</v>
      </c>
      <c r="D25" s="8">
        <v>1954.9</v>
      </c>
      <c r="E25" s="10" t="s">
        <v>248</v>
      </c>
    </row>
    <row r="26" spans="1:5">
      <c r="A26" s="70">
        <v>45929</v>
      </c>
      <c r="B26" s="67" t="s">
        <v>13</v>
      </c>
      <c r="C26" s="67" t="s">
        <v>6</v>
      </c>
      <c r="D26" s="8">
        <v>375</v>
      </c>
      <c r="E26" s="103" t="s">
        <v>209</v>
      </c>
    </row>
    <row r="27" spans="1:5">
      <c r="A27" s="70">
        <v>45929</v>
      </c>
      <c r="B27" s="63" t="s">
        <v>33</v>
      </c>
      <c r="C27" s="63" t="s">
        <v>6</v>
      </c>
      <c r="D27" s="4">
        <v>1419.85</v>
      </c>
      <c r="E27" s="10" t="s">
        <v>238</v>
      </c>
    </row>
    <row r="28" spans="1:5">
      <c r="A28" s="70">
        <v>45929</v>
      </c>
      <c r="B28" s="67" t="s">
        <v>127</v>
      </c>
      <c r="C28" s="67" t="s">
        <v>6</v>
      </c>
      <c r="D28" s="8">
        <v>15000</v>
      </c>
      <c r="E28" s="103" t="s">
        <v>214</v>
      </c>
    </row>
    <row r="29" spans="1:5">
      <c r="A29" s="70">
        <v>45930</v>
      </c>
      <c r="B29" s="63" t="s">
        <v>68</v>
      </c>
      <c r="C29" s="63" t="s">
        <v>6</v>
      </c>
      <c r="D29" s="4">
        <v>600</v>
      </c>
      <c r="E29" s="10" t="s">
        <v>128</v>
      </c>
    </row>
    <row r="30" spans="1:5">
      <c r="A30" s="70">
        <v>45930</v>
      </c>
      <c r="B30" s="67" t="s">
        <v>129</v>
      </c>
      <c r="C30" s="67" t="s">
        <v>6</v>
      </c>
      <c r="D30" s="8">
        <v>2000</v>
      </c>
      <c r="E30" s="10" t="s">
        <v>130</v>
      </c>
    </row>
    <row r="31" spans="1:5">
      <c r="A31" s="71" t="s">
        <v>18</v>
      </c>
      <c r="B31" s="71"/>
      <c r="C31" s="71"/>
      <c r="D31" s="30">
        <f>SUM(D3:D30)</f>
        <v>129602.34999999998</v>
      </c>
      <c r="E31" s="10"/>
    </row>
    <row r="32" spans="1:5" ht="15.75" thickBot="1">
      <c r="A32" s="64"/>
      <c r="B32" s="65"/>
      <c r="C32" s="65"/>
      <c r="D32" s="66"/>
    </row>
    <row r="33" spans="1:4" ht="15.75" thickBot="1">
      <c r="A33" s="41"/>
      <c r="B33" s="61"/>
      <c r="C33" s="61"/>
      <c r="D33" s="62"/>
    </row>
    <row r="34" spans="1:4" ht="15.75" thickBot="1">
      <c r="A34" s="40"/>
      <c r="B34" s="59"/>
      <c r="C34" s="59"/>
      <c r="D34" s="60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1430-4999-4331-B181-D034EB38FEA5}">
  <dimension ref="A1:E30"/>
  <sheetViews>
    <sheetView zoomScale="89" zoomScaleNormal="205" workbookViewId="0">
      <selection activeCell="E28" sqref="E28"/>
    </sheetView>
  </sheetViews>
  <sheetFormatPr defaultRowHeight="15"/>
  <cols>
    <col min="1" max="1" width="9.85546875" customWidth="1"/>
    <col min="2" max="2" width="52" customWidth="1"/>
    <col min="3" max="3" width="11.140625" customWidth="1"/>
    <col min="4" max="4" width="14.7109375" customWidth="1"/>
    <col min="5" max="5" width="50.7109375" customWidth="1"/>
  </cols>
  <sheetData>
    <row r="1" spans="1:5">
      <c r="A1" s="107" t="s">
        <v>131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1" t="s">
        <v>4</v>
      </c>
    </row>
    <row r="3" spans="1:5">
      <c r="A3" s="6">
        <v>45931</v>
      </c>
      <c r="B3" s="7" t="s">
        <v>132</v>
      </c>
      <c r="C3" s="7" t="s">
        <v>6</v>
      </c>
      <c r="D3" s="8">
        <v>977.45</v>
      </c>
      <c r="E3" s="24" t="s">
        <v>116</v>
      </c>
    </row>
    <row r="4" spans="1:5">
      <c r="A4" s="2">
        <v>45931</v>
      </c>
      <c r="B4" s="3" t="s">
        <v>109</v>
      </c>
      <c r="C4" s="3" t="s">
        <v>6</v>
      </c>
      <c r="D4" s="4">
        <v>977.45</v>
      </c>
      <c r="E4" s="24" t="s">
        <v>116</v>
      </c>
    </row>
    <row r="5" spans="1:5">
      <c r="A5" s="2">
        <v>45932</v>
      </c>
      <c r="B5" s="3" t="s">
        <v>109</v>
      </c>
      <c r="C5" s="3" t="s">
        <v>6</v>
      </c>
      <c r="D5" s="4">
        <v>2900</v>
      </c>
      <c r="E5" s="23" t="s">
        <v>116</v>
      </c>
    </row>
    <row r="6" spans="1:5">
      <c r="A6" s="6">
        <v>45932</v>
      </c>
      <c r="B6" s="7" t="s">
        <v>109</v>
      </c>
      <c r="C6" s="7" t="s">
        <v>6</v>
      </c>
      <c r="D6" s="8">
        <v>1009.8</v>
      </c>
      <c r="E6" s="9" t="s">
        <v>116</v>
      </c>
    </row>
    <row r="7" spans="1:5">
      <c r="A7" s="6">
        <v>45933</v>
      </c>
      <c r="B7" s="7" t="s">
        <v>132</v>
      </c>
      <c r="C7" s="7" t="s">
        <v>6</v>
      </c>
      <c r="D7" s="8">
        <v>3909.8</v>
      </c>
      <c r="E7" s="9" t="s">
        <v>116</v>
      </c>
    </row>
    <row r="8" spans="1:5">
      <c r="A8" s="2">
        <v>45936</v>
      </c>
      <c r="B8" s="3" t="s">
        <v>13</v>
      </c>
      <c r="C8" s="3" t="s">
        <v>6</v>
      </c>
      <c r="D8" s="4">
        <v>375</v>
      </c>
      <c r="E8" s="9" t="s">
        <v>133</v>
      </c>
    </row>
    <row r="9" spans="1:5">
      <c r="A9" s="13">
        <v>45937</v>
      </c>
      <c r="B9" s="14" t="s">
        <v>134</v>
      </c>
      <c r="C9" s="14" t="s">
        <v>6</v>
      </c>
      <c r="D9" s="39">
        <v>759</v>
      </c>
      <c r="E9" s="21" t="s">
        <v>135</v>
      </c>
    </row>
    <row r="10" spans="1:5">
      <c r="A10" s="6">
        <v>45938</v>
      </c>
      <c r="B10" s="7" t="s">
        <v>109</v>
      </c>
      <c r="C10" s="7" t="s">
        <v>6</v>
      </c>
      <c r="D10" s="8">
        <v>3909.8</v>
      </c>
      <c r="E10" s="9" t="s">
        <v>116</v>
      </c>
    </row>
    <row r="11" spans="1:5">
      <c r="A11" s="2">
        <v>45938</v>
      </c>
      <c r="B11" s="3" t="s">
        <v>13</v>
      </c>
      <c r="C11" s="3" t="s">
        <v>6</v>
      </c>
      <c r="D11" s="4">
        <v>2350</v>
      </c>
      <c r="E11" s="9" t="s">
        <v>136</v>
      </c>
    </row>
    <row r="12" spans="1:5">
      <c r="A12" s="13">
        <v>45939</v>
      </c>
      <c r="B12" s="14" t="s">
        <v>56</v>
      </c>
      <c r="C12" s="14" t="s">
        <v>6</v>
      </c>
      <c r="D12" s="39">
        <v>2300</v>
      </c>
      <c r="E12" s="68" t="s">
        <v>137</v>
      </c>
    </row>
    <row r="13" spans="1:5">
      <c r="A13" s="6">
        <v>45940</v>
      </c>
      <c r="B13" s="7" t="s">
        <v>138</v>
      </c>
      <c r="C13" s="7" t="s">
        <v>6</v>
      </c>
      <c r="D13" s="8">
        <v>127</v>
      </c>
      <c r="E13" s="25" t="s">
        <v>249</v>
      </c>
    </row>
    <row r="14" spans="1:5">
      <c r="A14" s="6">
        <v>45940</v>
      </c>
      <c r="B14" s="7" t="s">
        <v>38</v>
      </c>
      <c r="C14" s="7" t="s">
        <v>6</v>
      </c>
      <c r="D14" s="8">
        <v>36.409999999999997</v>
      </c>
      <c r="E14" s="9" t="s">
        <v>250</v>
      </c>
    </row>
    <row r="15" spans="1:5">
      <c r="A15" s="2">
        <v>45940</v>
      </c>
      <c r="B15" s="3" t="s">
        <v>139</v>
      </c>
      <c r="C15" s="3" t="s">
        <v>6</v>
      </c>
      <c r="D15" s="4">
        <v>15000</v>
      </c>
      <c r="E15" s="9" t="s">
        <v>214</v>
      </c>
    </row>
    <row r="16" spans="1:5">
      <c r="A16" s="2">
        <v>45943</v>
      </c>
      <c r="B16" s="3" t="s">
        <v>13</v>
      </c>
      <c r="C16" s="3" t="s">
        <v>6</v>
      </c>
      <c r="D16" s="4">
        <v>375</v>
      </c>
      <c r="E16" s="9" t="s">
        <v>133</v>
      </c>
    </row>
    <row r="17" spans="1:5">
      <c r="A17" s="18">
        <v>45944</v>
      </c>
      <c r="B17" s="19" t="s">
        <v>123</v>
      </c>
      <c r="C17" s="19" t="s">
        <v>6</v>
      </c>
      <c r="D17" s="20">
        <v>1000</v>
      </c>
      <c r="E17" s="9" t="s">
        <v>140</v>
      </c>
    </row>
    <row r="18" spans="1:5">
      <c r="A18" s="6">
        <v>45944</v>
      </c>
      <c r="B18" s="7" t="s">
        <v>15</v>
      </c>
      <c r="C18" s="7" t="s">
        <v>6</v>
      </c>
      <c r="D18" s="8">
        <v>759</v>
      </c>
      <c r="E18" s="9" t="s">
        <v>212</v>
      </c>
    </row>
    <row r="19" spans="1:5">
      <c r="A19" s="6">
        <v>45946</v>
      </c>
      <c r="B19" s="7" t="s">
        <v>141</v>
      </c>
      <c r="C19" s="7" t="s">
        <v>6</v>
      </c>
      <c r="D19" s="8">
        <v>110000</v>
      </c>
      <c r="E19" s="9" t="s">
        <v>251</v>
      </c>
    </row>
    <row r="20" spans="1:5">
      <c r="A20" s="2">
        <v>45947</v>
      </c>
      <c r="B20" s="3" t="s">
        <v>138</v>
      </c>
      <c r="C20" s="3" t="s">
        <v>6</v>
      </c>
      <c r="D20" s="4">
        <v>12000</v>
      </c>
      <c r="E20" s="25" t="s">
        <v>249</v>
      </c>
    </row>
    <row r="21" spans="1:5">
      <c r="A21" s="13">
        <v>45950</v>
      </c>
      <c r="B21" s="14" t="s">
        <v>127</v>
      </c>
      <c r="C21" s="14" t="s">
        <v>6</v>
      </c>
      <c r="D21" s="39">
        <v>60000</v>
      </c>
      <c r="E21" s="9" t="s">
        <v>214</v>
      </c>
    </row>
    <row r="22" spans="1:5">
      <c r="A22" s="2">
        <v>45950</v>
      </c>
      <c r="B22" s="3" t="s">
        <v>13</v>
      </c>
      <c r="C22" s="3" t="s">
        <v>6</v>
      </c>
      <c r="D22" s="4">
        <v>375</v>
      </c>
      <c r="E22" s="17" t="s">
        <v>252</v>
      </c>
    </row>
    <row r="23" spans="1:5">
      <c r="A23" s="13">
        <v>45957</v>
      </c>
      <c r="B23" s="14" t="s">
        <v>57</v>
      </c>
      <c r="C23" s="14" t="s">
        <v>6</v>
      </c>
      <c r="D23" s="39">
        <v>300</v>
      </c>
      <c r="E23" s="72" t="s">
        <v>142</v>
      </c>
    </row>
    <row r="24" spans="1:5">
      <c r="A24" s="6">
        <v>45958</v>
      </c>
      <c r="B24" s="7" t="s">
        <v>143</v>
      </c>
      <c r="C24" s="7" t="s">
        <v>6</v>
      </c>
      <c r="D24" s="8">
        <v>759</v>
      </c>
      <c r="E24" s="9" t="s">
        <v>144</v>
      </c>
    </row>
    <row r="25" spans="1:5">
      <c r="A25" s="2">
        <v>45958</v>
      </c>
      <c r="B25" s="3" t="s">
        <v>13</v>
      </c>
      <c r="C25" s="3" t="s">
        <v>6</v>
      </c>
      <c r="D25" s="4">
        <v>375</v>
      </c>
      <c r="E25" s="9" t="s">
        <v>253</v>
      </c>
    </row>
    <row r="26" spans="1:5">
      <c r="A26" s="18">
        <v>45958</v>
      </c>
      <c r="B26" s="19" t="s">
        <v>33</v>
      </c>
      <c r="C26" s="19" t="s">
        <v>6</v>
      </c>
      <c r="D26" s="20">
        <v>1419.85</v>
      </c>
      <c r="E26" s="21" t="s">
        <v>145</v>
      </c>
    </row>
    <row r="27" spans="1:5">
      <c r="A27" s="18">
        <v>45959</v>
      </c>
      <c r="B27" s="19" t="s">
        <v>14</v>
      </c>
      <c r="C27" s="19" t="s">
        <v>6</v>
      </c>
      <c r="D27" s="20">
        <v>4346.3</v>
      </c>
      <c r="E27" s="9" t="s">
        <v>254</v>
      </c>
    </row>
    <row r="28" spans="1:5">
      <c r="A28" s="2">
        <v>45960</v>
      </c>
      <c r="B28" s="3" t="s">
        <v>103</v>
      </c>
      <c r="C28" s="3" t="s">
        <v>6</v>
      </c>
      <c r="D28" s="4">
        <v>25000</v>
      </c>
      <c r="E28" s="9" t="s">
        <v>214</v>
      </c>
    </row>
    <row r="29" spans="1:5">
      <c r="A29" s="2">
        <v>45961</v>
      </c>
      <c r="B29" s="3" t="s">
        <v>60</v>
      </c>
      <c r="C29" s="3" t="s">
        <v>6</v>
      </c>
      <c r="D29" s="4">
        <v>486</v>
      </c>
      <c r="E29" s="9" t="s">
        <v>146</v>
      </c>
    </row>
    <row r="30" spans="1:5">
      <c r="A30" s="9"/>
      <c r="B30" s="9"/>
      <c r="C30" s="9"/>
      <c r="D30" s="10">
        <f>SUM(D3:D29)</f>
        <v>251826.86</v>
      </c>
      <c r="E30" s="9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DA90-DFE2-4325-B425-0E663B9A22FF}">
  <dimension ref="A1:E28"/>
  <sheetViews>
    <sheetView topLeftCell="A7" zoomScale="108" zoomScaleNormal="205" workbookViewId="0">
      <selection activeCell="E21" sqref="E21"/>
    </sheetView>
  </sheetViews>
  <sheetFormatPr defaultRowHeight="15"/>
  <cols>
    <col min="1" max="1" width="11.42578125" customWidth="1"/>
    <col min="2" max="2" width="54.85546875" customWidth="1"/>
    <col min="3" max="3" width="9.7109375" customWidth="1"/>
    <col min="4" max="4" width="17.42578125" customWidth="1"/>
    <col min="5" max="5" width="54.140625" customWidth="1"/>
  </cols>
  <sheetData>
    <row r="1" spans="1:5">
      <c r="A1" s="107" t="s">
        <v>147</v>
      </c>
      <c r="B1" s="108"/>
      <c r="C1" s="108"/>
      <c r="D1" s="108"/>
      <c r="E1" s="109"/>
    </row>
    <row r="2" spans="1:5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5">
      <c r="A3" s="2">
        <v>45964</v>
      </c>
      <c r="B3" s="3" t="s">
        <v>13</v>
      </c>
      <c r="C3" s="3" t="s">
        <v>6</v>
      </c>
      <c r="D3" s="4">
        <v>375</v>
      </c>
      <c r="E3" s="9" t="s">
        <v>148</v>
      </c>
    </row>
    <row r="4" spans="1:5">
      <c r="A4" s="6">
        <v>45964</v>
      </c>
      <c r="B4" s="7" t="s">
        <v>149</v>
      </c>
      <c r="C4" s="7" t="s">
        <v>6</v>
      </c>
      <c r="D4" s="8">
        <v>300</v>
      </c>
      <c r="E4" s="9" t="s">
        <v>150</v>
      </c>
    </row>
    <row r="5" spans="1:5" ht="15.75" thickBot="1">
      <c r="A5" s="2">
        <v>45965</v>
      </c>
      <c r="B5" s="14" t="s">
        <v>13</v>
      </c>
      <c r="C5" s="14" t="s">
        <v>6</v>
      </c>
      <c r="D5" s="39">
        <v>6000</v>
      </c>
      <c r="E5" s="9" t="s">
        <v>252</v>
      </c>
    </row>
    <row r="6" spans="1:5">
      <c r="A6" s="76">
        <v>45967</v>
      </c>
      <c r="B6" s="19" t="s">
        <v>151</v>
      </c>
      <c r="C6" s="19" t="s">
        <v>6</v>
      </c>
      <c r="D6" s="20">
        <v>125.1</v>
      </c>
      <c r="E6" s="9" t="s">
        <v>152</v>
      </c>
    </row>
    <row r="7" spans="1:5">
      <c r="A7" s="2">
        <v>45967</v>
      </c>
      <c r="B7" s="3" t="s">
        <v>153</v>
      </c>
      <c r="C7" s="3" t="s">
        <v>6</v>
      </c>
      <c r="D7" s="4">
        <v>24000</v>
      </c>
      <c r="E7" s="9"/>
    </row>
    <row r="8" spans="1:5">
      <c r="A8" s="13">
        <v>45967</v>
      </c>
      <c r="B8" s="14" t="s">
        <v>154</v>
      </c>
      <c r="C8" s="14" t="s">
        <v>6</v>
      </c>
      <c r="D8" s="39">
        <v>4346.3</v>
      </c>
      <c r="E8" s="21" t="s">
        <v>155</v>
      </c>
    </row>
    <row r="9" spans="1:5" ht="15.75" thickBot="1">
      <c r="A9" s="6">
        <v>45967</v>
      </c>
      <c r="B9" s="19" t="s">
        <v>22</v>
      </c>
      <c r="C9" s="19" t="s">
        <v>6</v>
      </c>
      <c r="D9" s="20">
        <v>759</v>
      </c>
      <c r="E9" s="9" t="s">
        <v>156</v>
      </c>
    </row>
    <row r="10" spans="1:5">
      <c r="A10" s="80">
        <v>45968</v>
      </c>
      <c r="B10" s="14" t="s">
        <v>157</v>
      </c>
      <c r="C10" s="14" t="s">
        <v>6</v>
      </c>
      <c r="D10" s="39">
        <v>1525.86</v>
      </c>
      <c r="E10" s="81" t="s">
        <v>158</v>
      </c>
    </row>
    <row r="11" spans="1:5">
      <c r="A11" s="18">
        <v>45968</v>
      </c>
      <c r="B11" s="19" t="s">
        <v>159</v>
      </c>
      <c r="C11" s="19" t="s">
        <v>6</v>
      </c>
      <c r="D11" s="20">
        <v>759</v>
      </c>
      <c r="E11" s="21" t="s">
        <v>160</v>
      </c>
    </row>
    <row r="12" spans="1:5">
      <c r="A12" s="2">
        <v>45971</v>
      </c>
      <c r="B12" s="3" t="s">
        <v>161</v>
      </c>
      <c r="C12" s="3" t="s">
        <v>6</v>
      </c>
      <c r="D12" s="4">
        <v>759</v>
      </c>
      <c r="E12" s="9" t="s">
        <v>162</v>
      </c>
    </row>
    <row r="13" spans="1:5">
      <c r="A13" s="7" t="s">
        <v>163</v>
      </c>
      <c r="B13" s="7" t="s">
        <v>13</v>
      </c>
      <c r="C13" s="7" t="s">
        <v>6</v>
      </c>
      <c r="D13" s="8">
        <v>375</v>
      </c>
      <c r="E13" s="9" t="s">
        <v>164</v>
      </c>
    </row>
    <row r="14" spans="1:5">
      <c r="A14" s="6">
        <v>45978</v>
      </c>
      <c r="B14" s="7" t="s">
        <v>13</v>
      </c>
      <c r="C14" s="7" t="s">
        <v>6</v>
      </c>
      <c r="D14" s="8">
        <v>375</v>
      </c>
      <c r="E14" s="9" t="s">
        <v>164</v>
      </c>
    </row>
    <row r="15" spans="1:5">
      <c r="A15" s="13">
        <v>45978</v>
      </c>
      <c r="B15" s="14" t="s">
        <v>165</v>
      </c>
      <c r="C15" s="14" t="s">
        <v>6</v>
      </c>
      <c r="D15" s="39">
        <v>2300</v>
      </c>
      <c r="E15" s="82" t="s">
        <v>255</v>
      </c>
    </row>
    <row r="16" spans="1:5">
      <c r="A16" s="18">
        <v>45980</v>
      </c>
      <c r="B16" s="19" t="s">
        <v>76</v>
      </c>
      <c r="C16" s="19" t="s">
        <v>6</v>
      </c>
      <c r="D16" s="83">
        <v>12114</v>
      </c>
      <c r="E16" s="21" t="s">
        <v>166</v>
      </c>
    </row>
    <row r="17" spans="1:5">
      <c r="A17" s="2">
        <v>45982</v>
      </c>
      <c r="B17" s="3" t="s">
        <v>120</v>
      </c>
      <c r="C17" s="3" t="s">
        <v>6</v>
      </c>
      <c r="D17" s="4">
        <v>300</v>
      </c>
      <c r="E17" s="9" t="s">
        <v>167</v>
      </c>
    </row>
    <row r="18" spans="1:5">
      <c r="A18" s="6">
        <v>45982</v>
      </c>
      <c r="B18" s="7" t="s">
        <v>14</v>
      </c>
      <c r="C18" s="7" t="s">
        <v>6</v>
      </c>
      <c r="D18" s="8">
        <v>4346.3</v>
      </c>
      <c r="E18" s="9" t="s">
        <v>168</v>
      </c>
    </row>
    <row r="19" spans="1:5">
      <c r="A19" s="13">
        <v>45982</v>
      </c>
      <c r="B19" s="14" t="s">
        <v>53</v>
      </c>
      <c r="C19" s="14" t="s">
        <v>6</v>
      </c>
      <c r="D19" s="39">
        <v>300</v>
      </c>
      <c r="E19" s="21" t="s">
        <v>169</v>
      </c>
    </row>
    <row r="20" spans="1:5">
      <c r="A20" s="2">
        <v>45985</v>
      </c>
      <c r="B20" s="3" t="s">
        <v>170</v>
      </c>
      <c r="C20" s="3" t="s">
        <v>6</v>
      </c>
      <c r="D20" s="4">
        <v>25000</v>
      </c>
      <c r="E20" s="9"/>
    </row>
    <row r="21" spans="1:5">
      <c r="A21" s="6">
        <v>45985</v>
      </c>
      <c r="B21" s="7" t="s">
        <v>171</v>
      </c>
      <c r="C21" s="7" t="s">
        <v>6</v>
      </c>
      <c r="D21" s="8">
        <v>600</v>
      </c>
      <c r="E21" s="9"/>
    </row>
    <row r="22" spans="1:5">
      <c r="A22" s="50">
        <v>45985</v>
      </c>
      <c r="B22" s="51" t="s">
        <v>123</v>
      </c>
      <c r="C22" s="51" t="s">
        <v>6</v>
      </c>
      <c r="D22" s="52">
        <v>1000</v>
      </c>
      <c r="E22" s="69" t="s">
        <v>172</v>
      </c>
    </row>
    <row r="23" spans="1:5">
      <c r="A23" s="6">
        <v>45985</v>
      </c>
      <c r="B23" s="7" t="s">
        <v>13</v>
      </c>
      <c r="C23" s="7" t="s">
        <v>6</v>
      </c>
      <c r="D23" s="8">
        <v>375</v>
      </c>
      <c r="E23" s="9" t="s">
        <v>164</v>
      </c>
    </row>
    <row r="24" spans="1:5">
      <c r="A24" s="2">
        <v>45987</v>
      </c>
      <c r="B24" s="3" t="s">
        <v>173</v>
      </c>
      <c r="C24" s="3" t="s">
        <v>6</v>
      </c>
      <c r="D24" s="4">
        <v>4553.7</v>
      </c>
      <c r="E24" s="9" t="s">
        <v>174</v>
      </c>
    </row>
    <row r="25" spans="1:5">
      <c r="A25" s="87"/>
      <c r="B25" s="87"/>
      <c r="C25" s="87"/>
      <c r="D25" s="88"/>
      <c r="E25" s="87"/>
    </row>
    <row r="26" spans="1:5">
      <c r="A26" s="9"/>
      <c r="B26" s="9"/>
      <c r="C26" s="9"/>
      <c r="D26" s="10"/>
      <c r="E26" s="9"/>
    </row>
    <row r="27" spans="1:5">
      <c r="A27" s="9"/>
      <c r="B27" s="9"/>
      <c r="C27" s="9"/>
      <c r="D27" s="10"/>
      <c r="E27" s="9"/>
    </row>
    <row r="28" spans="1:5">
      <c r="A28" s="9"/>
      <c r="B28" s="9"/>
      <c r="C28" s="9"/>
      <c r="D28" s="10"/>
      <c r="E28" s="9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2648-0588-46E2-9A04-C05E65FAB895}">
  <dimension ref="A1:F55"/>
  <sheetViews>
    <sheetView zoomScale="96" zoomScaleNormal="220" workbookViewId="0">
      <selection activeCell="E34" sqref="E34"/>
    </sheetView>
  </sheetViews>
  <sheetFormatPr defaultRowHeight="15"/>
  <cols>
    <col min="1" max="1" width="10.42578125" customWidth="1"/>
    <col min="2" max="2" width="63.7109375" customWidth="1"/>
    <col min="4" max="4" width="15.85546875" customWidth="1"/>
    <col min="5" max="5" width="66.7109375" customWidth="1"/>
  </cols>
  <sheetData>
    <row r="1" spans="1:6">
      <c r="A1" s="107" t="s">
        <v>175</v>
      </c>
      <c r="B1" s="108"/>
      <c r="C1" s="108"/>
      <c r="D1" s="108"/>
      <c r="E1" s="109"/>
    </row>
    <row r="2" spans="1:6">
      <c r="A2" s="15" t="s">
        <v>1</v>
      </c>
      <c r="B2" s="16" t="s">
        <v>2</v>
      </c>
      <c r="C2" s="15"/>
      <c r="D2" s="15" t="s">
        <v>3</v>
      </c>
      <c r="E2" s="15" t="s">
        <v>4</v>
      </c>
    </row>
    <row r="3" spans="1:6">
      <c r="A3" s="6">
        <v>45992</v>
      </c>
      <c r="B3" s="7" t="s">
        <v>176</v>
      </c>
      <c r="C3" s="7" t="s">
        <v>6</v>
      </c>
      <c r="D3" s="8">
        <v>759</v>
      </c>
      <c r="E3" s="3" t="s">
        <v>177</v>
      </c>
    </row>
    <row r="4" spans="1:6">
      <c r="A4" s="6">
        <v>45993</v>
      </c>
      <c r="B4" s="7" t="s">
        <v>60</v>
      </c>
      <c r="C4" s="7" t="s">
        <v>6</v>
      </c>
      <c r="D4" s="8">
        <v>162</v>
      </c>
      <c r="E4" s="3" t="s">
        <v>178</v>
      </c>
    </row>
    <row r="5" spans="1:6">
      <c r="A5" s="2">
        <v>45993</v>
      </c>
      <c r="B5" s="3" t="s">
        <v>33</v>
      </c>
      <c r="C5" s="3" t="s">
        <v>6</v>
      </c>
      <c r="D5" s="4">
        <v>1419.85</v>
      </c>
      <c r="E5" s="7" t="s">
        <v>179</v>
      </c>
    </row>
    <row r="6" spans="1:6">
      <c r="A6" s="6">
        <v>45994</v>
      </c>
      <c r="B6" s="7" t="s">
        <v>180</v>
      </c>
      <c r="C6" s="7" t="s">
        <v>6</v>
      </c>
      <c r="D6" s="8">
        <v>2450.3200000000002</v>
      </c>
      <c r="E6" s="91" t="s">
        <v>181</v>
      </c>
    </row>
    <row r="7" spans="1:6">
      <c r="A7" s="6">
        <v>45996</v>
      </c>
      <c r="B7" s="7" t="s">
        <v>182</v>
      </c>
      <c r="C7" s="7" t="s">
        <v>6</v>
      </c>
      <c r="D7" s="8">
        <v>2350</v>
      </c>
      <c r="E7" s="91" t="s">
        <v>183</v>
      </c>
    </row>
    <row r="8" spans="1:6" ht="15.75" thickBot="1">
      <c r="A8" s="6">
        <v>46000</v>
      </c>
      <c r="B8" s="7" t="s">
        <v>68</v>
      </c>
      <c r="C8" s="7" t="s">
        <v>6</v>
      </c>
      <c r="D8" s="8">
        <v>766.82</v>
      </c>
      <c r="E8" s="91" t="s">
        <v>184</v>
      </c>
    </row>
    <row r="9" spans="1:6" ht="16.5" thickBot="1">
      <c r="A9" s="6">
        <v>46001</v>
      </c>
      <c r="B9" s="7" t="s">
        <v>21</v>
      </c>
      <c r="C9" s="7" t="s">
        <v>6</v>
      </c>
      <c r="D9" s="8">
        <v>20000</v>
      </c>
      <c r="E9" s="90" t="s">
        <v>256</v>
      </c>
      <c r="F9" s="89"/>
    </row>
    <row r="10" spans="1:6">
      <c r="A10" s="6">
        <v>46001</v>
      </c>
      <c r="B10" s="7" t="s">
        <v>161</v>
      </c>
      <c r="C10" s="7" t="s">
        <v>6</v>
      </c>
      <c r="D10" s="8">
        <v>759</v>
      </c>
      <c r="E10" s="29" t="s">
        <v>185</v>
      </c>
    </row>
    <row r="11" spans="1:6">
      <c r="A11" s="2">
        <v>46001</v>
      </c>
      <c r="B11" s="3" t="s">
        <v>117</v>
      </c>
      <c r="C11" s="3" t="s">
        <v>6</v>
      </c>
      <c r="D11" s="4">
        <v>963.1</v>
      </c>
      <c r="E11" s="92" t="s">
        <v>186</v>
      </c>
    </row>
    <row r="12" spans="1:6">
      <c r="A12" s="94">
        <v>46001</v>
      </c>
      <c r="B12" s="95" t="s">
        <v>24</v>
      </c>
      <c r="C12" s="95" t="s">
        <v>6</v>
      </c>
      <c r="D12" s="96">
        <v>5000</v>
      </c>
      <c r="E12" s="97" t="s">
        <v>215</v>
      </c>
    </row>
    <row r="13" spans="1:6">
      <c r="A13" s="18">
        <v>46002</v>
      </c>
      <c r="B13" s="19" t="s">
        <v>83</v>
      </c>
      <c r="C13" s="19" t="s">
        <v>6</v>
      </c>
      <c r="D13" s="20">
        <v>2350</v>
      </c>
      <c r="E13" s="93" t="s">
        <v>187</v>
      </c>
    </row>
    <row r="14" spans="1:6">
      <c r="A14" s="6">
        <v>45993</v>
      </c>
      <c r="B14" s="7" t="s">
        <v>14</v>
      </c>
      <c r="C14" s="7" t="s">
        <v>6</v>
      </c>
      <c r="D14" s="8">
        <v>4346.3</v>
      </c>
      <c r="E14" s="29" t="s">
        <v>188</v>
      </c>
    </row>
    <row r="15" spans="1:6">
      <c r="A15" s="2">
        <v>46006</v>
      </c>
      <c r="B15" s="3" t="s">
        <v>189</v>
      </c>
      <c r="C15" s="3" t="s">
        <v>6</v>
      </c>
      <c r="D15" s="4">
        <v>25450</v>
      </c>
      <c r="E15" s="26" t="s">
        <v>257</v>
      </c>
    </row>
    <row r="16" spans="1:6">
      <c r="A16" s="6">
        <v>46006</v>
      </c>
      <c r="B16" s="7" t="s">
        <v>13</v>
      </c>
      <c r="C16" s="7" t="s">
        <v>6</v>
      </c>
      <c r="D16" s="8">
        <v>375</v>
      </c>
      <c r="E16" s="9" t="s">
        <v>164</v>
      </c>
    </row>
    <row r="17" spans="1:5">
      <c r="A17" s="13">
        <v>45998</v>
      </c>
      <c r="B17" s="14" t="s">
        <v>190</v>
      </c>
      <c r="C17" s="14" t="s">
        <v>6</v>
      </c>
      <c r="D17" s="39">
        <v>25000</v>
      </c>
      <c r="E17" s="98" t="s">
        <v>191</v>
      </c>
    </row>
    <row r="18" spans="1:5">
      <c r="A18" s="13">
        <v>46008</v>
      </c>
      <c r="B18" s="14" t="s">
        <v>192</v>
      </c>
      <c r="C18" s="14" t="s">
        <v>6</v>
      </c>
      <c r="D18" s="39">
        <v>759</v>
      </c>
      <c r="E18" s="99" t="s">
        <v>193</v>
      </c>
    </row>
    <row r="19" spans="1:5">
      <c r="A19" s="6">
        <v>46009</v>
      </c>
      <c r="B19" s="7" t="s">
        <v>194</v>
      </c>
      <c r="C19" s="7" t="s">
        <v>6</v>
      </c>
      <c r="D19" s="8">
        <v>2350</v>
      </c>
      <c r="E19" s="9" t="s">
        <v>258</v>
      </c>
    </row>
    <row r="20" spans="1:5">
      <c r="A20" s="13">
        <v>46010</v>
      </c>
      <c r="B20" s="14" t="s">
        <v>36</v>
      </c>
      <c r="C20" s="14" t="s">
        <v>6</v>
      </c>
      <c r="D20" s="39">
        <v>162</v>
      </c>
      <c r="E20" s="93" t="s">
        <v>195</v>
      </c>
    </row>
    <row r="21" spans="1:5">
      <c r="A21" s="2">
        <v>46013</v>
      </c>
      <c r="B21" s="3" t="s">
        <v>123</v>
      </c>
      <c r="C21" s="3" t="s">
        <v>6</v>
      </c>
      <c r="D21" s="4">
        <v>1000</v>
      </c>
      <c r="E21" s="93" t="s">
        <v>196</v>
      </c>
    </row>
    <row r="22" spans="1:5">
      <c r="A22" s="100">
        <v>46013</v>
      </c>
      <c r="B22" s="101" t="s">
        <v>197</v>
      </c>
      <c r="C22" s="101" t="s">
        <v>6</v>
      </c>
      <c r="D22" s="102">
        <v>1250</v>
      </c>
      <c r="E22" s="25" t="s">
        <v>259</v>
      </c>
    </row>
    <row r="23" spans="1:5">
      <c r="A23" s="2">
        <v>46013</v>
      </c>
      <c r="B23" s="3" t="s">
        <v>161</v>
      </c>
      <c r="C23" s="3" t="s">
        <v>6</v>
      </c>
      <c r="D23" s="4">
        <v>759</v>
      </c>
      <c r="E23" s="9" t="s">
        <v>198</v>
      </c>
    </row>
    <row r="24" spans="1:5">
      <c r="A24" s="6">
        <v>46013</v>
      </c>
      <c r="B24" s="7" t="s">
        <v>13</v>
      </c>
      <c r="C24" s="7" t="s">
        <v>6</v>
      </c>
      <c r="D24" s="8">
        <v>375</v>
      </c>
      <c r="E24" s="9" t="s">
        <v>164</v>
      </c>
    </row>
    <row r="25" spans="1:5">
      <c r="A25" s="6">
        <v>46014</v>
      </c>
      <c r="B25" s="7" t="s">
        <v>120</v>
      </c>
      <c r="C25" s="7" t="s">
        <v>6</v>
      </c>
      <c r="D25" s="8">
        <v>300</v>
      </c>
      <c r="E25" s="25" t="s">
        <v>260</v>
      </c>
    </row>
    <row r="26" spans="1:5">
      <c r="A26" s="2">
        <v>46014</v>
      </c>
      <c r="B26" s="3" t="s">
        <v>199</v>
      </c>
      <c r="C26" s="3" t="s">
        <v>6</v>
      </c>
      <c r="D26" s="4">
        <v>759</v>
      </c>
      <c r="E26" s="99" t="s">
        <v>200</v>
      </c>
    </row>
    <row r="27" spans="1:5">
      <c r="A27" s="6">
        <v>46014</v>
      </c>
      <c r="B27" s="7" t="s">
        <v>50</v>
      </c>
      <c r="C27" s="7" t="s">
        <v>6</v>
      </c>
      <c r="D27" s="8">
        <v>1518</v>
      </c>
      <c r="E27" s="9" t="s">
        <v>201</v>
      </c>
    </row>
    <row r="28" spans="1:5">
      <c r="A28" s="13">
        <v>46014</v>
      </c>
      <c r="B28" s="14" t="s">
        <v>202</v>
      </c>
      <c r="C28" s="14" t="s">
        <v>6</v>
      </c>
      <c r="D28" s="39">
        <v>2450</v>
      </c>
      <c r="E28" s="93" t="s">
        <v>203</v>
      </c>
    </row>
    <row r="29" spans="1:5">
      <c r="A29" s="2">
        <v>46014</v>
      </c>
      <c r="B29" s="3" t="s">
        <v>50</v>
      </c>
      <c r="C29" s="3" t="s">
        <v>6</v>
      </c>
      <c r="D29" s="4">
        <v>1518</v>
      </c>
      <c r="E29" s="9" t="s">
        <v>201</v>
      </c>
    </row>
    <row r="30" spans="1:5">
      <c r="A30" s="6">
        <v>46017</v>
      </c>
      <c r="B30" s="7" t="s">
        <v>204</v>
      </c>
      <c r="C30" s="7" t="s">
        <v>6</v>
      </c>
      <c r="D30" s="8">
        <v>2550</v>
      </c>
      <c r="E30" s="9" t="s">
        <v>205</v>
      </c>
    </row>
    <row r="31" spans="1:5">
      <c r="A31" s="2">
        <v>46017</v>
      </c>
      <c r="B31" s="3" t="s">
        <v>206</v>
      </c>
      <c r="C31" s="3" t="s">
        <v>6</v>
      </c>
      <c r="D31" s="4">
        <v>759</v>
      </c>
      <c r="E31" s="9" t="s">
        <v>261</v>
      </c>
    </row>
    <row r="32" spans="1:5">
      <c r="A32" s="6">
        <v>46020</v>
      </c>
      <c r="B32" s="7" t="s">
        <v>192</v>
      </c>
      <c r="C32" s="7" t="s">
        <v>6</v>
      </c>
      <c r="D32" s="8">
        <v>759</v>
      </c>
      <c r="E32" s="9" t="s">
        <v>207</v>
      </c>
    </row>
    <row r="33" spans="1:5">
      <c r="A33" s="2">
        <v>46020</v>
      </c>
      <c r="B33" s="3" t="s">
        <v>13</v>
      </c>
      <c r="C33" s="3" t="s">
        <v>6</v>
      </c>
      <c r="D33" s="4">
        <v>375</v>
      </c>
      <c r="E33" s="9" t="s">
        <v>252</v>
      </c>
    </row>
    <row r="34" spans="1:5">
      <c r="A34" s="87"/>
      <c r="B34" s="87"/>
      <c r="C34" s="87"/>
      <c r="D34" s="88"/>
      <c r="E34" s="87"/>
    </row>
    <row r="35" spans="1:5">
      <c r="A35" s="9"/>
      <c r="B35" s="9"/>
      <c r="C35" s="9"/>
      <c r="D35" s="10"/>
      <c r="E35" s="9"/>
    </row>
    <row r="36" spans="1:5">
      <c r="A36" s="9"/>
      <c r="B36" s="9"/>
      <c r="C36" s="9"/>
      <c r="D36" s="10"/>
      <c r="E36" s="9"/>
    </row>
    <row r="37" spans="1:5">
      <c r="A37" s="9"/>
      <c r="B37" s="9"/>
      <c r="C37" s="9"/>
      <c r="D37" s="10"/>
      <c r="E37" s="9"/>
    </row>
    <row r="38" spans="1:5">
      <c r="A38" s="9"/>
      <c r="B38" s="9"/>
      <c r="C38" s="9"/>
      <c r="D38" s="10"/>
      <c r="E38" s="9"/>
    </row>
    <row r="39" spans="1:5">
      <c r="A39" s="9"/>
      <c r="B39" s="9"/>
      <c r="C39" s="9"/>
      <c r="D39" s="10"/>
      <c r="E39" s="9"/>
    </row>
    <row r="40" spans="1:5">
      <c r="A40" s="9"/>
      <c r="B40" s="9"/>
      <c r="C40" s="9"/>
      <c r="D40" s="10"/>
      <c r="E40" s="9"/>
    </row>
    <row r="41" spans="1:5">
      <c r="A41" s="9"/>
      <c r="B41" s="9"/>
      <c r="C41" s="9"/>
      <c r="D41" s="10"/>
      <c r="E41" s="9"/>
    </row>
    <row r="42" spans="1:5">
      <c r="A42" s="9"/>
      <c r="B42" s="9"/>
      <c r="C42" s="9"/>
      <c r="D42" s="10"/>
      <c r="E42" s="9"/>
    </row>
    <row r="43" spans="1:5">
      <c r="A43" s="9"/>
      <c r="B43" s="9"/>
      <c r="C43" s="9"/>
      <c r="D43" s="10"/>
      <c r="E43" s="9"/>
    </row>
    <row r="44" spans="1:5">
      <c r="A44" s="9"/>
      <c r="B44" s="9"/>
      <c r="C44" s="9"/>
      <c r="D44" s="10"/>
      <c r="E44" s="9"/>
    </row>
    <row r="45" spans="1:5">
      <c r="A45" s="9"/>
      <c r="B45" s="9"/>
      <c r="C45" s="9"/>
      <c r="D45" s="10"/>
      <c r="E45" s="9"/>
    </row>
    <row r="46" spans="1:5">
      <c r="A46" s="9"/>
      <c r="B46" s="9"/>
      <c r="C46" s="9"/>
      <c r="D46" s="10"/>
      <c r="E46" s="9"/>
    </row>
    <row r="47" spans="1:5">
      <c r="A47" s="9"/>
      <c r="B47" s="9"/>
      <c r="C47" s="9"/>
      <c r="D47" s="10"/>
      <c r="E47" s="9"/>
    </row>
    <row r="48" spans="1:5">
      <c r="A48" s="9"/>
      <c r="B48" s="9"/>
      <c r="C48" s="9"/>
      <c r="D48" s="10"/>
      <c r="E48" s="9"/>
    </row>
    <row r="49" spans="1:5">
      <c r="A49" s="9"/>
      <c r="B49" s="9"/>
      <c r="C49" s="9"/>
      <c r="D49" s="10"/>
      <c r="E49" s="9"/>
    </row>
    <row r="50" spans="1:5">
      <c r="A50" s="9"/>
      <c r="B50" s="9"/>
      <c r="C50" s="9"/>
      <c r="D50" s="10"/>
      <c r="E50" s="9"/>
    </row>
    <row r="51" spans="1:5">
      <c r="A51" s="9"/>
      <c r="B51" s="9"/>
      <c r="C51" s="9"/>
      <c r="D51" s="10"/>
      <c r="E51" s="9"/>
    </row>
    <row r="52" spans="1:5">
      <c r="A52" s="9"/>
      <c r="B52" s="9"/>
      <c r="C52" s="9"/>
      <c r="D52" s="10"/>
      <c r="E52" s="9"/>
    </row>
    <row r="53" spans="1:5">
      <c r="A53" s="9"/>
      <c r="B53" s="9"/>
      <c r="C53" s="9"/>
      <c r="D53" s="10"/>
      <c r="E53" s="9"/>
    </row>
    <row r="54" spans="1:5">
      <c r="A54" s="9"/>
      <c r="B54" s="9"/>
      <c r="C54" s="9"/>
      <c r="D54" s="10"/>
      <c r="E54" s="9"/>
    </row>
    <row r="55" spans="1:5">
      <c r="A55" s="9"/>
      <c r="B55" s="9"/>
      <c r="C55" s="9"/>
      <c r="D55" s="10"/>
      <c r="E55" s="9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01-2025 ok</vt:lpstr>
      <vt:lpstr>02-2025</vt:lpstr>
      <vt:lpstr>03-2025</vt:lpstr>
      <vt:lpstr>04-2025 ok</vt:lpstr>
      <vt:lpstr>05-2025 ok</vt:lpstr>
      <vt:lpstr>06-2025</vt:lpstr>
      <vt:lpstr>07-2025</vt:lpstr>
      <vt:lpstr>08-2025</vt:lpstr>
      <vt:lpstr>09-2025 ok</vt:lpstr>
      <vt:lpstr>10-2025 ok</vt:lpstr>
      <vt:lpstr>11-2025</vt:lpstr>
      <vt:lpstr>12-2025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Ampla Contabilidade</dc:creator>
  <cp:keywords/>
  <dc:description/>
  <cp:lastModifiedBy>Ampla Contabilidade</cp:lastModifiedBy>
  <cp:revision/>
  <dcterms:created xsi:type="dcterms:W3CDTF">2024-08-19T18:28:47Z</dcterms:created>
  <dcterms:modified xsi:type="dcterms:W3CDTF">2026-01-09T13:49:57Z</dcterms:modified>
  <cp:category/>
  <cp:contentStatus/>
</cp:coreProperties>
</file>